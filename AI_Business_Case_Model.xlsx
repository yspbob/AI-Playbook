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aroslav\Documents\GitHub\AI-Workbook\"/>
    </mc:Choice>
  </mc:AlternateContent>
  <xr:revisionPtr revIDLastSave="0" documentId="13_ncr:1_{CA79E95F-AD5F-4A7C-9CF4-3A162FD44716}" xr6:coauthVersionLast="47" xr6:coauthVersionMax="47" xr10:uidLastSave="{00000000-0000-0000-0000-000000000000}"/>
  <bookViews>
    <workbookView xWindow="23380" yWindow="0" windowWidth="26460" windowHeight="20970" xr2:uid="{00000000-000D-0000-FFFF-FFFF00000000}"/>
  </bookViews>
  <sheets>
    <sheet name="Read me" sheetId="1" r:id="rId1"/>
    <sheet name="Inputs" sheetId="2" r:id="rId2"/>
    <sheet name="Scenarios" sheetId="3" r:id="rId3"/>
    <sheet name="Model" sheetId="4" r:id="rId4"/>
    <sheet name="Bridge" sheetId="5" r:id="rId5"/>
  </sheets>
  <calcPr calcId="191029"/>
  <extLst>
    <ext uri="GoogleSheetsCustomDataVersion2">
      <go:sheetsCustomData xmlns:go="http://customooxmlschemas.google.com/" r:id="rId9" roundtripDataChecksum="XGHArEs2JaTVkjhBaDnTZEHp091XyQW+PZYdrPOWT68="/>
    </ext>
  </extLst>
</workbook>
</file>

<file path=xl/calcChain.xml><?xml version="1.0" encoding="utf-8"?>
<calcChain xmlns="http://schemas.openxmlformats.org/spreadsheetml/2006/main">
  <c r="C11" i="2" l="1"/>
  <c r="D9" i="4" s="1"/>
  <c r="E9" i="4" s="1"/>
  <c r="C12" i="4"/>
  <c r="C11" i="4"/>
  <c r="E11" i="4" s="1"/>
  <c r="F8" i="5"/>
  <c r="F5" i="5"/>
  <c r="D10" i="4"/>
  <c r="E10" i="4" s="1"/>
  <c r="C10" i="4"/>
  <c r="E4" i="4"/>
  <c r="E5" i="4" s="1"/>
  <c r="D4" i="4"/>
  <c r="D6" i="4" s="1"/>
  <c r="D7" i="4" s="1"/>
  <c r="C4" i="4"/>
  <c r="C6" i="4" s="1"/>
  <c r="C7" i="4" s="1"/>
  <c r="K8" i="3"/>
  <c r="H8" i="3"/>
  <c r="E8" i="3"/>
  <c r="K7" i="3"/>
  <c r="H7" i="3"/>
  <c r="E7" i="3"/>
  <c r="K6" i="3"/>
  <c r="H6" i="3"/>
  <c r="E6" i="3"/>
  <c r="C6" i="2"/>
  <c r="D8" i="4" s="1"/>
  <c r="E8" i="4" s="1"/>
  <c r="C8" i="4" l="1"/>
  <c r="D11" i="4"/>
  <c r="D15" i="4" s="1"/>
  <c r="C7" i="5" s="1"/>
  <c r="G7" i="5" s="1"/>
  <c r="C9" i="4"/>
  <c r="C15" i="4" s="1"/>
  <c r="E20" i="4"/>
  <c r="E26" i="4"/>
  <c r="E32" i="4"/>
  <c r="C5" i="4"/>
  <c r="D5" i="4"/>
  <c r="E6" i="4"/>
  <c r="E7" i="4" s="1"/>
  <c r="E15" i="4" s="1"/>
  <c r="E16" i="4" s="1"/>
  <c r="D16" i="4" l="1"/>
  <c r="E41" i="4"/>
  <c r="C20" i="4"/>
  <c r="C21" i="4" s="1"/>
  <c r="C22" i="4" s="1"/>
  <c r="C41" i="4"/>
  <c r="C26" i="4"/>
  <c r="C27" i="4" s="1"/>
  <c r="C28" i="4" s="1"/>
  <c r="C32" i="4"/>
  <c r="C33" i="4" s="1"/>
  <c r="C34" i="4" s="1"/>
  <c r="E27" i="4"/>
  <c r="D32" i="4"/>
  <c r="D33" i="4" s="1"/>
  <c r="D20" i="4"/>
  <c r="D21" i="4" s="1"/>
  <c r="C6" i="5"/>
  <c r="G6" i="5" s="1"/>
  <c r="D41" i="4"/>
  <c r="C5" i="5"/>
  <c r="D26" i="4"/>
  <c r="D27" i="4" s="1"/>
  <c r="E33" i="4"/>
  <c r="E21" i="4"/>
  <c r="C16" i="4"/>
  <c r="D46" i="4" l="1"/>
  <c r="E46" i="4"/>
  <c r="C46" i="4"/>
  <c r="C8" i="5"/>
  <c r="G8" i="5" s="1"/>
  <c r="F6" i="5"/>
  <c r="F7" i="5" s="1"/>
  <c r="G5" i="5"/>
  <c r="E42" i="4"/>
  <c r="D42" i="4"/>
  <c r="C42" i="4"/>
  <c r="D28" i="4"/>
  <c r="D34" i="4"/>
  <c r="E34" i="4" s="1"/>
  <c r="D22" i="4"/>
  <c r="E22" i="4" s="1"/>
  <c r="C23" i="4" l="1"/>
  <c r="C35" i="4"/>
  <c r="D47" i="4"/>
  <c r="C47" i="4"/>
  <c r="E28" i="4"/>
  <c r="E47" i="4"/>
  <c r="C29" i="4"/>
  <c r="C48" i="4" l="1"/>
  <c r="E48" i="4"/>
  <c r="D48" i="4"/>
</calcChain>
</file>

<file path=xl/sharedStrings.xml><?xml version="1.0" encoding="utf-8"?>
<sst xmlns="http://schemas.openxmlformats.org/spreadsheetml/2006/main" count="179" uniqueCount="156">
  <si>
    <t>AI business case model</t>
  </si>
  <si>
    <t>Companion to the AI Engineering Playbook, section 12</t>
  </si>
  <si>
    <t>v1.0, August 2026</t>
  </si>
  <si>
    <t>About</t>
  </si>
  <si>
    <t>The business case model accompanying section 12 of the AI Engineering Playbook. Simplified and directional: it shows the shape and scale of the case, and a proper plan would carry more parameters and take more factors into account. Inputs holds the cost parameters, Scenarios the capacity and conversion grid, Model the three-year sums and Bridge the year-2 value waterfall.</t>
  </si>
  <si>
    <t>How to read it</t>
  </si>
  <si>
    <t>Starting defaults</t>
  </si>
  <si>
    <t>Every input is a starting default, not a benchmark: the definitions column says what each one means and what evidence should move it. Anchors from published sources are quoted in their native currency (mostly USD), with GBP equivalents.</t>
  </si>
  <si>
    <t>Four cautions</t>
  </si>
  <si>
    <t>Freed capacity and conversion decide the case. Conversion is owned by the executive committee rather than any single leader, and the only benchmark that matters is your own section 9 ledger. Value is priced in loaded engineering cost, a payroll-equivalent measure rather than cash, EBITDA or recognised financial benefit: what finance recognises depends on the conversion route, as section 12 sets out. Year one is negative in every scenario by design, with costs landing ahead of the value ramp. And year 3 holds year-2 rates by default, an assumption that should be challenged.</t>
  </si>
  <si>
    <t>Scope and money</t>
  </si>
  <si>
    <t>Playbook</t>
  </si>
  <si>
    <t>https://yspbob.github.io/AI-Playbook/AI_Engineering_Playbook.html</t>
  </si>
  <si>
    <t>Parameter</t>
  </si>
  <si>
    <t>Value</t>
  </si>
  <si>
    <t>Units</t>
  </si>
  <si>
    <t>Definition</t>
  </si>
  <si>
    <t>Benchmark and source</t>
  </si>
  <si>
    <t>Recalibrated by</t>
  </si>
  <si>
    <t>Budget line</t>
  </si>
  <si>
    <t>Engineers</t>
  </si>
  <si>
    <t>Year 1</t>
  </si>
  <si>
    <t>Year 2</t>
  </si>
  <si>
    <t>FTE</t>
  </si>
  <si>
    <t>Year 3</t>
  </si>
  <si>
    <t>Engineering headcount in scope: single delivery system, scored and rolled out together (section 10).</t>
  </si>
  <si>
    <t>Playbook target readership 300-500.</t>
  </si>
  <si>
    <t>Capacity freed: the engineer time AI frees after its own overheads, as a share of all engineer time. Conversion: the share of that freed capacity you actually pick up and book as value (section 9). Captured = freed x conversion, the value the model books.</t>
  </si>
  <si>
    <t>The section 10 scoping rule: score per delivery system.</t>
  </si>
  <si>
    <t>Blended fully-loaded cost per engineer</t>
  </si>
  <si>
    <t>Main inputs</t>
  </si>
  <si>
    <t>k/year</t>
  </si>
  <si>
    <t>Salary + employer taxes + benefits + overhead.</t>
  </si>
  <si>
    <t>London fully-loaded range about 120-180: Morgan McKinley UK 2026 base ranges, loaded at about +30% (BLS).</t>
  </si>
  <si>
    <t>Your own comp data, annually.</t>
  </si>
  <si>
    <t>FX rate (£ to $)</t>
  </si>
  <si>
    <t>$/£</t>
  </si>
  <si>
    <t>Bridge for USD-published anchors, used by USD-anchored formulas such as tooling.</t>
  </si>
  <si>
    <t>FX at each review.</t>
  </si>
  <si>
    <t>Engineering team size, FTE</t>
  </si>
  <si>
    <t>Tooling, all-in per developer-month</t>
  </si>
  <si>
    <t>Year 1 Capacity Gains</t>
  </si>
  <si>
    <t>£/dev-month</t>
  </si>
  <si>
    <t>Year 2 Capacity Gains</t>
  </si>
  <si>
    <t>Seats + tokens + usage, averaged across the estate.</t>
  </si>
  <si>
    <t>Year 3 Capacity Gains</t>
  </si>
  <si>
    <t>USD 200-600 all-in (DX pricing survey).</t>
  </si>
  <si>
    <t>Gateway spend telemetry (section 6), quarterly.</t>
  </si>
  <si>
    <t>Year-1 tooling coverage, average %</t>
  </si>
  <si>
    <t>%</t>
  </si>
  <si>
    <t>Average share of engineers with active tooling across year 1, as adoption waves land. Applies to the tooling and platform lines only. Year 2 onward runs at full coverage.</t>
  </si>
  <si>
    <t>A linear ramp to full coverage by year end averages about 50%. Set above it for the pilot's heavier token burn.</t>
  </si>
  <si>
    <t>Wave schedule actuals (section 11).</t>
  </si>
  <si>
    <t>Scenario</t>
  </si>
  <si>
    <t>Freed</t>
  </si>
  <si>
    <t>Converted</t>
  </si>
  <si>
    <t>Captured</t>
  </si>
  <si>
    <t>Enabling team, % (build and rollout)</t>
  </si>
  <si>
    <t>Engineering team payroll, k£</t>
  </si>
  <si>
    <t>Share of the engineering headcount through year 1. The team is additional to the engineers in scope: to model redeployment instead, reduce the engineers input by the same heads.</t>
  </si>
  <si>
    <t>DX benchmark: 2-6% of engineering headcount. The rate through build and rollout, before the steady-state floor below applies.</t>
  </si>
  <si>
    <t>DX benchmark refresh, annually.</t>
  </si>
  <si>
    <t>Enabling team, steady-state %</t>
  </si>
  <si>
    <t>Low</t>
  </si>
  <si>
    <t>Floor once rollout completes: per-team support and curriculum upkeep only. Applies from year 2, when the last wave lands (section 11).</t>
  </si>
  <si>
    <t>Bottom of the DX 2-6% band: the build work ends with the rollout.</t>
  </si>
  <si>
    <t>Section 7 sizing at each wave.</t>
  </si>
  <si>
    <t>Platform stack</t>
  </si>
  <si>
    <t>AI tooling only: gateway, observability, retrieval and eval infrastructure, excluding tokens. Usage-priced, not per seat. Baseline platform (developer portal, CI/CD) is assumed in place and excluded.</t>
  </si>
  <si>
    <t>£10-75k/yr for this org size: playbook aggregation over Langfuse, Portkey and LiteLLM pricing, Aug 2026. Published tiers reach about £43k, the rest is estimated enterprise pricing.</t>
  </si>
  <si>
    <t>Actual invoices, quarterly.</t>
  </si>
  <si>
    <t>Enabling team size, FTE</t>
  </si>
  <si>
    <t>Training and hidden, year 1</t>
  </si>
  <si>
    <t>k/eng/yr</t>
  </si>
  <si>
    <t>Cash costs only: external facilitation, courseware and year-one compliance work. A starting default above the ATD steady-state average. Time costs sit in net gain and the year-one dip, trainer labour in the enabling team row.</t>
  </si>
  <si>
    <t>No published year-one benchmark exists. ATD steady-state is about £840 per employee, and year one adds external facilitation and one-off compliance work, so the default sits at roughly double the steady-state rate.</t>
  </si>
  <si>
    <t>Actual programme spend as invoices land.</t>
  </si>
  <si>
    <t>Training and hidden, ongoing</t>
  </si>
  <si>
    <t>Cash costs once the programme runs on internal muscle: materials, refreshers and routine compliance.</t>
  </si>
  <si>
    <t>Anchored on the ATD average.</t>
  </si>
  <si>
    <t>Your actual spend, from quarter one.</t>
  </si>
  <si>
    <t>Mid</t>
  </si>
  <si>
    <t>Instability adjustment</t>
  </si>
  <si>
    <t>Optional: cost of a change-failure-rate rise (DORA mechanics: deploys x CFR delta x recovery hours x cost per hour). Zero switches it off.</t>
  </si>
  <si>
    <t>DORA ROI report models this line explicitly.</t>
  </si>
  <si>
    <t>CFR movement in section 8 telemetry.</t>
  </si>
  <si>
    <t>Enabling team payroll, k£</t>
  </si>
  <si>
    <t>High</t>
  </si>
  <si>
    <t>From year 2 the team drops to the steady-state floor, with the rollout complete within year 1 (section 11).</t>
  </si>
  <si>
    <t>Tooling cost, k£</t>
  </si>
  <si>
    <t>Year 1 at average rollout coverage, full estate from year 2.</t>
  </si>
  <si>
    <t>Platform stack cost, k£</t>
  </si>
  <si>
    <t>AI tooling only: portal and CI/CD excluded. Year 1 at average rollout coverage.</t>
  </si>
  <si>
    <t>Training and hidden cost, k£</t>
  </si>
  <si>
    <t>DX 400-company study, Nov 2024 to Feb 2026: median PR throughput up 7.76% while AI usage rose 65%, with most orgs landing in 5-15%. Treat this as the order of magnitude for organisation-level movement, not as a check on any column here. Throughput counts pull requests while this sheet counts payroll value, so neither freed nor captured is a like-for-like comparison.</t>
  </si>
  <si>
    <t>Year 1 is the build rate; Years 2-3 is the run rate</t>
  </si>
  <si>
    <t>Instability adjustment, k£</t>
  </si>
  <si>
    <t>Main indicators</t>
  </si>
  <si>
    <t>Total cost, k£</t>
  </si>
  <si>
    <t>Cost as % of payroll</t>
  </si>
  <si>
    <t>A broader measure than surveyed AI budgets (DX 2026: 1-3% of the engineering budget), which count the tool invoice alone. The tooling line in this model is about 2% as well. This line adds the enabling team and training costs. The band was surveyed before agentic tools went mainstream, so treat it as a lagging floor rather than a benchmark.</t>
  </si>
  <si>
    <t>Scenarios</t>
  </si>
  <si>
    <t>Low</t>
  </si>
  <si>
    <t>An example of a poorly managed programme: freed capacity and conversion land low and stay there, and neither recovers on its own. Repayment needs both at the Mid case or better, and that requires a plan and hands-on management: adoption depth from section 8, booking discipline from section 9 and the section 11 gates forcing a fix-or-stop call.</t>
  </si>
  <si>
    <t>Value booked, k£</t>
  </si>
  <si>
    <t>payroll x freed x conversion</t>
  </si>
  <si>
    <t>Net, k£</t>
  </si>
  <si>
    <t>Value bridge, Mid scenario, year 2</t>
  </si>
  <si>
    <t>Computed from Scenarios and Model. GBP thousands.</t>
  </si>
  <si>
    <t>Capacity freed, value</t>
  </si>
  <si>
    <t>Cumulative, k£</t>
  </si>
  <si>
    <t>payroll x freed, year 2: freed time priced at fully-loaded cost</t>
  </si>
  <si>
    <t>Cumulative breakeven</t>
  </si>
  <si>
    <t>Not booked</t>
  </si>
  <si>
    <t>the unconverted share evaporates (section 9)</t>
  </si>
  <si>
    <t>Programme cost</t>
  </si>
  <si>
    <t>Mid</t>
  </si>
  <si>
    <t>the five-line stack, year 2</t>
  </si>
  <si>
    <t>Net benefit, year 2</t>
  </si>
  <si>
    <t>matches the Model Mid net</t>
  </si>
  <si>
    <t>High</t>
  </si>
  <si>
    <t>Sensitivity scenarios</t>
  </si>
  <si>
    <t>Year-2 net by conversion rate, at Mid freed capacity</t>
  </si>
  <si>
    <t>Net, year 2</t>
  </si>
  <si>
    <t>Cumulative to year 2, k£</t>
  </si>
  <si>
    <t>Year-2 net by tooling all-in cost ($/dev-month), at Mid</t>
  </si>
  <si>
    <t>The 400 in these formulas is the USD all-in baseline behind the tooling input. If that anchor changes, update the 400 here to match.</t>
  </si>
  <si>
    <t>Net benefit is payroll-equivalent, priced at loaded engineering cost. What finance recognises depends on the conversion route (section 12).</t>
  </si>
  <si>
    <t>Recognised by finance</t>
  </si>
  <si>
    <t>Direct cost reduction</t>
  </si>
  <si>
    <t>Avoided hiring</t>
  </si>
  <si>
    <t>Additional delivery</t>
  </si>
  <si>
    <t>Quality and risk</t>
  </si>
  <si>
    <t>Verified avoided cost, plus quality effects that show up in client retention</t>
  </si>
  <si>
    <t>Debt paydown</t>
  </si>
  <si>
    <t>Booked later, as the velocity and incident gains it produces are measured</t>
  </si>
  <si>
    <t>Capacity absorbed without a decision</t>
  </si>
  <si>
    <t>The model counts it as not booked</t>
  </si>
  <si>
    <t>Reduced contractor spend</t>
  </si>
  <si>
    <t>Incremental margin, earlier market entry, or both</t>
  </si>
  <si>
    <r>
      <rPr>
        <sz val="10"/>
        <color rgb="FF0070C0"/>
        <rFont val="Arial"/>
        <family val="2"/>
      </rPr>
      <t>Blue cells</t>
    </r>
    <r>
      <rPr>
        <sz val="10"/>
        <color theme="1"/>
        <rFont val="Arial"/>
        <family val="2"/>
      </rPr>
      <t xml:space="preserve"> are inputs. All figures in GBP thousands unless the units column says otherwise.</t>
    </r>
  </si>
  <si>
    <t>Freed-capacity Conversion Route</t>
  </si>
  <si>
    <t>Avoided future cost for hires that were already budgeted</t>
  </si>
  <si>
    <t>Platform monthly run cost</t>
  </si>
  <si>
    <t>k/month</t>
  </si>
  <si>
    <t>Phase 0 remediation, one-off</t>
  </si>
  <si>
    <t>Optional: legacy clean-up required to reach the engineering floor before the programme starts. Zero by default.</t>
  </si>
  <si>
    <t>The section 10 readiness scores, priced.</t>
  </si>
  <si>
    <t>No benchmark, entirely company-specific</t>
  </si>
  <si>
    <t>Phase 0 remediation, k£</t>
  </si>
  <si>
    <t>All figures are in today's money, with nothing discounted. Holding everything in current terms cancels inflation and pay rises, and a real cost of capital would pull the Mid breakeven toward the year-2 to year-3 boundary. The model prices a functioning programme from the section 11 go decision. Year 1 can still go negative in the field, which is what the Phase 1 pilot and the gates are there to catch before scale. Any Phase 0 work to reach the engineering floor is assumed complete and funded outside this model, unless you price it in the optional Phase 0 input (0 by default).</t>
  </si>
  <si>
    <t>k</t>
  </si>
  <si>
    <t>Net benefit is payroll-equivalent, priced at loaded engineering cost. What finance recognises depends on the conversion route (Section 12)</t>
  </si>
  <si>
    <t>The monthly cost of the AI-specific platform layer.</t>
  </si>
  <si>
    <t>Authorship</t>
  </si>
  <si>
    <t>The playbook's closing section, How this playbook was made, covers the authorship and composition of the whole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</si>
</sst>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
    <numFmt numFmtId="166" formatCode="0.0%"/>
    <numFmt numFmtId="167" formatCode="[$£]#,##0.0"/>
    <numFmt numFmtId="168" formatCode="[$$-409]#,##0.00"/>
    <numFmt numFmtId="169" formatCode="#,##0.0;\(#,##0.0\);\-"/>
    <numFmt numFmtId="170" formatCode="[$$-409]#,##0"/>
  </numFmts>
  <fonts count="13" x14ac:knownFonts="1">
    <font>
      <sz val="11"/>
      <color theme="1"/>
      <name val="Calibri"/>
      <scheme val="minor"/>
    </font>
    <font>
      <sz val="11"/>
      <color theme="1"/>
      <name val="Arial"/>
      <family val="2"/>
    </font>
    <font>
      <sz val="11"/>
      <color rgb="FF595959"/>
      <name val="Arial"/>
      <family val="2"/>
    </font>
    <font>
      <b/>
      <sz val="11"/>
      <color theme="1"/>
      <name val="Arial"/>
      <family val="2"/>
    </font>
    <font>
      <sz val="11"/>
      <color rgb="FF434343"/>
      <name val="Arial"/>
      <family val="2"/>
    </font>
    <font>
      <b/>
      <i/>
      <sz val="11"/>
      <color theme="1"/>
      <name val="Arial"/>
      <family val="2"/>
    </font>
    <font>
      <sz val="11"/>
      <color theme="1"/>
      <name val="Calibri"/>
      <family val="2"/>
      <scheme val="minor"/>
    </font>
    <font>
      <b/>
      <sz val="10"/>
      <color theme="1"/>
      <name val="Arial"/>
      <family val="2"/>
    </font>
    <font>
      <sz val="10"/>
      <color theme="1"/>
      <name val="Arial"/>
      <family val="2"/>
    </font>
    <font>
      <sz val="10"/>
      <color rgb="FF595959"/>
      <name val="Arial"/>
      <family val="2"/>
    </font>
    <font>
      <sz val="11"/>
      <color rgb="FF0070C0"/>
      <name val="Arial"/>
      <family val="2"/>
    </font>
    <font>
      <sz val="10"/>
      <color rgb="FF0070C0"/>
      <name val="Arial"/>
      <family val="2"/>
    </font>
    <font>
      <sz val="10"/>
      <color rgb="FF434343"/>
      <name val="Arial"/>
      <family val="2"/>
    </font>
  </fonts>
  <fills count="8">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FFFFFF"/>
        <bgColor rgb="FFFFFFFF"/>
      </patternFill>
    </fill>
    <fill>
      <patternFill patternType="solid">
        <fgColor theme="0" tint="-4.9989318521683403E-2"/>
        <bgColor indexed="64"/>
      </patternFill>
    </fill>
    <fill>
      <patternFill patternType="solid">
        <fgColor theme="0"/>
        <bgColor indexed="64"/>
      </patternFill>
    </fill>
    <fill>
      <patternFill patternType="solid">
        <fgColor theme="0"/>
        <bgColor rgb="FFF2F2F2"/>
      </patternFill>
    </fill>
  </fills>
  <borders count="40">
    <border>
      <left/>
      <right/>
      <top/>
      <bottom/>
      <diagonal/>
    </border>
    <border>
      <left/>
      <right style="dotted">
        <color rgb="FF999999"/>
      </right>
      <top/>
      <bottom style="thick">
        <color rgb="FF7F7F7F"/>
      </bottom>
      <diagonal/>
    </border>
    <border>
      <left/>
      <right/>
      <top/>
      <bottom style="thick">
        <color rgb="FF7F7F7F"/>
      </bottom>
      <diagonal/>
    </border>
    <border>
      <left/>
      <right style="medium">
        <color rgb="FFB7B7B7"/>
      </right>
      <top/>
      <bottom/>
      <diagonal/>
    </border>
    <border>
      <left/>
      <right style="dotted">
        <color rgb="FF999999"/>
      </right>
      <top style="thick">
        <color rgb="FF7F7F7F"/>
      </top>
      <bottom style="dotted">
        <color rgb="FFBFBFBF"/>
      </bottom>
      <diagonal/>
    </border>
    <border>
      <left/>
      <right/>
      <top style="thick">
        <color rgb="FF7F7F7F"/>
      </top>
      <bottom style="dotted">
        <color rgb="FFBFBFBF"/>
      </bottom>
      <diagonal/>
    </border>
    <border>
      <left/>
      <right/>
      <top/>
      <bottom/>
      <diagonal/>
    </border>
    <border>
      <left/>
      <right style="dotted">
        <color rgb="FF999999"/>
      </right>
      <top style="dotted">
        <color rgb="FFBFBFBF"/>
      </top>
      <bottom style="dotted">
        <color rgb="FFBFBFBF"/>
      </bottom>
      <diagonal/>
    </border>
    <border>
      <left/>
      <right/>
      <top style="dotted">
        <color rgb="FFBFBFBF"/>
      </top>
      <bottom style="dotted">
        <color rgb="FFBFBFBF"/>
      </bottom>
      <diagonal/>
    </border>
    <border>
      <left/>
      <right style="dotted">
        <color rgb="FF999999"/>
      </right>
      <top/>
      <bottom style="dotted">
        <color rgb="FFBFBFBF"/>
      </bottom>
      <diagonal/>
    </border>
    <border>
      <left/>
      <right/>
      <top/>
      <bottom style="dotted">
        <color rgb="FF999999"/>
      </bottom>
      <diagonal/>
    </border>
    <border>
      <left/>
      <right/>
      <top/>
      <bottom style="dotted">
        <color rgb="FFBFBFBF"/>
      </bottom>
      <diagonal/>
    </border>
    <border>
      <left/>
      <right style="dotted">
        <color rgb="FF999999"/>
      </right>
      <top/>
      <bottom style="thick">
        <color rgb="FF7F7F7F"/>
      </bottom>
      <diagonal/>
    </border>
    <border>
      <left/>
      <right/>
      <top/>
      <bottom style="thick">
        <color rgb="FF7F7F7F"/>
      </bottom>
      <diagonal/>
    </border>
    <border>
      <left/>
      <right/>
      <top/>
      <bottom style="thick">
        <color rgb="FF7F7F7F"/>
      </bottom>
      <diagonal/>
    </border>
    <border>
      <left/>
      <right style="dotted">
        <color rgb="FF999999"/>
      </right>
      <top/>
      <bottom style="thick">
        <color rgb="FF7F7F7F"/>
      </bottom>
      <diagonal/>
    </border>
    <border>
      <left style="medium">
        <color rgb="FFBFBFBF"/>
      </left>
      <right/>
      <top style="dotted">
        <color rgb="FFBFBFBF"/>
      </top>
      <bottom style="dotted">
        <color rgb="FFBFBFBF"/>
      </bottom>
      <diagonal/>
    </border>
    <border>
      <left/>
      <right style="dotted">
        <color rgb="FF999999"/>
      </right>
      <top style="thick">
        <color rgb="FF7F7F7F"/>
      </top>
      <bottom style="dotted">
        <color rgb="FF7F7F7F"/>
      </bottom>
      <diagonal/>
    </border>
    <border>
      <left/>
      <right/>
      <top style="thick">
        <color rgb="FF7F7F7F"/>
      </top>
      <bottom style="dotted">
        <color rgb="FF7F7F7F"/>
      </bottom>
      <diagonal/>
    </border>
    <border>
      <left/>
      <right style="medium">
        <color rgb="FFBFBFBF"/>
      </right>
      <top style="dotted">
        <color rgb="FFBFBFBF"/>
      </top>
      <bottom style="dotted">
        <color rgb="FFBFBFBF"/>
      </bottom>
      <diagonal/>
    </border>
    <border>
      <left/>
      <right/>
      <top style="thick">
        <color rgb="FF7F7F7F"/>
      </top>
      <bottom style="dotted">
        <color rgb="FF7F7F7F"/>
      </bottom>
      <diagonal/>
    </border>
    <border>
      <left/>
      <right style="dotted">
        <color rgb="FF999999"/>
      </right>
      <top style="dotted">
        <color rgb="FF7F7F7F"/>
      </top>
      <bottom style="dotted">
        <color rgb="FF7F7F7F"/>
      </bottom>
      <diagonal/>
    </border>
    <border>
      <left/>
      <right/>
      <top style="dotted">
        <color rgb="FF7F7F7F"/>
      </top>
      <bottom style="dotted">
        <color rgb="FF7F7F7F"/>
      </bottom>
      <diagonal/>
    </border>
    <border>
      <left/>
      <right/>
      <top style="dotted">
        <color rgb="FF7F7F7F"/>
      </top>
      <bottom style="dotted">
        <color rgb="FF7F7F7F"/>
      </bottom>
      <diagonal/>
    </border>
    <border>
      <left style="medium">
        <color rgb="FFBFBFBF"/>
      </left>
      <right/>
      <top style="dotted">
        <color rgb="FFBFBFBF"/>
      </top>
      <bottom style="medium">
        <color rgb="FFBFBFBF"/>
      </bottom>
      <diagonal/>
    </border>
    <border>
      <left/>
      <right/>
      <top style="dotted">
        <color rgb="FFBFBFBF"/>
      </top>
      <bottom style="medium">
        <color rgb="FFBFBFBF"/>
      </bottom>
      <diagonal/>
    </border>
    <border>
      <left/>
      <right style="medium">
        <color rgb="FFBFBFBF"/>
      </right>
      <top style="dotted">
        <color rgb="FFBFBFBF"/>
      </top>
      <bottom style="medium">
        <color rgb="FFBFBFBF"/>
      </bottom>
      <diagonal/>
    </border>
    <border>
      <left style="medium">
        <color rgb="FFBFBFBF"/>
      </left>
      <right/>
      <top/>
      <bottom style="dotted">
        <color rgb="FFBFBFBF"/>
      </bottom>
      <diagonal/>
    </border>
    <border>
      <left/>
      <right style="medium">
        <color rgb="FFBFBFBF"/>
      </right>
      <top/>
      <bottom style="dotted">
        <color rgb="FFBFBFBF"/>
      </bottom>
      <diagonal/>
    </border>
    <border>
      <left style="medium">
        <color rgb="FFB7B7B7"/>
      </left>
      <right/>
      <top style="dotted">
        <color rgb="FFBFBFBF"/>
      </top>
      <bottom style="medium">
        <color rgb="FFB7B7B7"/>
      </bottom>
      <diagonal/>
    </border>
    <border>
      <left/>
      <right/>
      <top style="dotted">
        <color rgb="FFBFBFBF"/>
      </top>
      <bottom style="medium">
        <color rgb="FFB7B7B7"/>
      </bottom>
      <diagonal/>
    </border>
    <border>
      <left/>
      <right style="medium">
        <color rgb="FFB7B7B7"/>
      </right>
      <top style="dotted">
        <color rgb="FFBFBFBF"/>
      </top>
      <bottom style="medium">
        <color rgb="FFB7B7B7"/>
      </bottom>
      <diagonal/>
    </border>
    <border>
      <left style="medium">
        <color rgb="FFB7B7B7"/>
      </left>
      <right/>
      <top/>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right style="dotted">
        <color rgb="FF999999"/>
      </right>
      <top/>
      <bottom/>
      <diagonal/>
    </border>
    <border>
      <left style="medium">
        <color rgb="FFBFBFBF"/>
      </left>
      <right/>
      <top style="dotted">
        <color rgb="FFBFBFBF"/>
      </top>
      <bottom/>
      <diagonal/>
    </border>
    <border>
      <left/>
      <right/>
      <top style="dotted">
        <color rgb="FFBFBFBF"/>
      </top>
      <bottom/>
      <diagonal/>
    </border>
    <border>
      <left/>
      <right style="medium">
        <color rgb="FFBFBFBF"/>
      </right>
      <top style="dotted">
        <color rgb="FFBFBFBF"/>
      </top>
      <bottom/>
      <diagonal/>
    </border>
  </borders>
  <cellStyleXfs count="1">
    <xf numFmtId="0" fontId="0" fillId="0" borderId="0"/>
  </cellStyleXfs>
  <cellXfs count="89">
    <xf numFmtId="0" fontId="0" fillId="0" borderId="0" xfId="0"/>
    <xf numFmtId="0" fontId="3" fillId="0" borderId="3" xfId="0" applyFont="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1" fillId="0" borderId="16" xfId="0" applyFont="1" applyBorder="1" applyAlignment="1">
      <alignment vertical="center"/>
    </xf>
    <xf numFmtId="164" fontId="1" fillId="0" borderId="8" xfId="0" applyNumberFormat="1" applyFont="1" applyBorder="1" applyAlignment="1">
      <alignment horizontal="center" vertical="center"/>
    </xf>
    <xf numFmtId="0" fontId="1" fillId="2" borderId="17" xfId="0" applyFont="1" applyFill="1" applyBorder="1" applyAlignment="1">
      <alignment horizontal="center" vertical="center"/>
    </xf>
    <xf numFmtId="164" fontId="1" fillId="0" borderId="19" xfId="0" applyNumberFormat="1" applyFont="1" applyBorder="1" applyAlignment="1">
      <alignment horizontal="center" vertical="center"/>
    </xf>
    <xf numFmtId="0" fontId="1" fillId="2" borderId="21" xfId="0" applyFont="1" applyFill="1" applyBorder="1" applyAlignment="1">
      <alignment horizontal="center" vertical="center"/>
    </xf>
    <xf numFmtId="0" fontId="2" fillId="0" borderId="0" xfId="0" applyFont="1" applyAlignment="1">
      <alignment vertical="center"/>
    </xf>
    <xf numFmtId="0" fontId="1" fillId="0" borderId="24" xfId="0" applyFont="1" applyBorder="1" applyAlignment="1">
      <alignment vertical="center"/>
    </xf>
    <xf numFmtId="164" fontId="1" fillId="0" borderId="25" xfId="0" applyNumberFormat="1" applyFont="1" applyBorder="1" applyAlignment="1">
      <alignment horizontal="center" vertical="center"/>
    </xf>
    <xf numFmtId="164" fontId="1" fillId="0" borderId="26" xfId="0" applyNumberFormat="1" applyFont="1" applyBorder="1" applyAlignment="1">
      <alignment horizontal="center" vertical="center"/>
    </xf>
    <xf numFmtId="164" fontId="1" fillId="0" borderId="0" xfId="0" applyNumberFormat="1" applyFont="1" applyAlignment="1">
      <alignment horizontal="center" vertical="center"/>
    </xf>
    <xf numFmtId="0" fontId="1" fillId="0" borderId="27" xfId="0" applyFont="1" applyBorder="1" applyAlignment="1">
      <alignment vertical="center"/>
    </xf>
    <xf numFmtId="164" fontId="1" fillId="0" borderId="11" xfId="0" applyNumberFormat="1" applyFont="1" applyBorder="1" applyAlignment="1">
      <alignment horizontal="center" vertical="center"/>
    </xf>
    <xf numFmtId="164" fontId="1" fillId="0" borderId="28" xfId="0" applyNumberFormat="1" applyFont="1" applyBorder="1" applyAlignment="1">
      <alignment horizontal="center" vertical="center"/>
    </xf>
    <xf numFmtId="166" fontId="1" fillId="0" borderId="25" xfId="0" applyNumberFormat="1" applyFont="1" applyBorder="1" applyAlignment="1">
      <alignment horizontal="center" vertical="center"/>
    </xf>
    <xf numFmtId="166" fontId="1" fillId="0" borderId="26" xfId="0" applyNumberFormat="1" applyFont="1" applyBorder="1" applyAlignment="1">
      <alignment horizontal="center" vertical="center"/>
    </xf>
    <xf numFmtId="0" fontId="1" fillId="0" borderId="29" xfId="0" applyFont="1" applyBorder="1" applyAlignment="1">
      <alignment vertical="center"/>
    </xf>
    <xf numFmtId="164" fontId="1" fillId="0" borderId="30" xfId="0" applyNumberFormat="1" applyFont="1" applyBorder="1" applyAlignment="1">
      <alignment horizontal="center" vertical="center"/>
    </xf>
    <xf numFmtId="164" fontId="1" fillId="0" borderId="31" xfId="0" applyNumberFormat="1" applyFont="1" applyBorder="1" applyAlignment="1">
      <alignment horizontal="center" vertical="center"/>
    </xf>
    <xf numFmtId="0" fontId="1" fillId="0" borderId="32" xfId="0" applyFont="1" applyBorder="1" applyAlignment="1">
      <alignment vertical="center"/>
    </xf>
    <xf numFmtId="164" fontId="1" fillId="0" borderId="3" xfId="0" applyNumberFormat="1" applyFont="1" applyBorder="1" applyAlignment="1">
      <alignment horizontal="center" vertical="center"/>
    </xf>
    <xf numFmtId="0" fontId="7" fillId="0" borderId="0" xfId="0" applyFont="1" applyAlignment="1">
      <alignment vertical="center"/>
    </xf>
    <xf numFmtId="0" fontId="8" fillId="0" borderId="0" xfId="0" applyFont="1" applyAlignment="1">
      <alignment vertical="center" wrapText="1"/>
    </xf>
    <xf numFmtId="0" fontId="7" fillId="0" borderId="0" xfId="0" applyFont="1"/>
    <xf numFmtId="0" fontId="8" fillId="0" borderId="0" xfId="0" applyFont="1"/>
    <xf numFmtId="0" fontId="9" fillId="0" borderId="0" xfId="0" applyFont="1"/>
    <xf numFmtId="0" fontId="9" fillId="0" borderId="0" xfId="0" applyFont="1" applyAlignment="1">
      <alignment vertical="center" wrapText="1"/>
    </xf>
    <xf numFmtId="0" fontId="7"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center"/>
    </xf>
    <xf numFmtId="169" fontId="10" fillId="0" borderId="11" xfId="0" applyNumberFormat="1" applyFont="1" applyBorder="1" applyAlignment="1">
      <alignment horizontal="center" vertical="center"/>
    </xf>
    <xf numFmtId="169" fontId="10" fillId="0" borderId="28" xfId="0" applyNumberFormat="1" applyFont="1" applyBorder="1" applyAlignment="1">
      <alignment horizontal="center" vertical="center"/>
    </xf>
    <xf numFmtId="166" fontId="10" fillId="2" borderId="18" xfId="0" applyNumberFormat="1" applyFont="1" applyFill="1" applyBorder="1" applyAlignment="1">
      <alignment horizontal="center" vertical="center"/>
    </xf>
    <xf numFmtId="166" fontId="10" fillId="2" borderId="20" xfId="0" applyNumberFormat="1" applyFont="1" applyFill="1" applyBorder="1" applyAlignment="1">
      <alignment horizontal="center" vertical="center"/>
    </xf>
    <xf numFmtId="166" fontId="10" fillId="2" borderId="22" xfId="0" applyNumberFormat="1" applyFont="1" applyFill="1" applyBorder="1" applyAlignment="1">
      <alignment horizontal="center" vertical="center"/>
    </xf>
    <xf numFmtId="166" fontId="10" fillId="2" borderId="23" xfId="0" applyNumberFormat="1" applyFont="1" applyFill="1" applyBorder="1" applyAlignment="1">
      <alignment horizontal="center" vertical="center"/>
    </xf>
    <xf numFmtId="170" fontId="10" fillId="0" borderId="11" xfId="0" applyNumberFormat="1" applyFont="1" applyBorder="1" applyAlignment="1">
      <alignment horizontal="center" vertical="center"/>
    </xf>
    <xf numFmtId="170" fontId="10" fillId="0" borderId="28" xfId="0" applyNumberFormat="1" applyFont="1" applyBorder="1" applyAlignment="1">
      <alignment horizontal="center" vertical="center"/>
    </xf>
    <xf numFmtId="0" fontId="0" fillId="6" borderId="0" xfId="0" applyFill="1"/>
    <xf numFmtId="166" fontId="3" fillId="7" borderId="17" xfId="0" applyNumberFormat="1" applyFont="1" applyFill="1" applyBorder="1" applyAlignment="1">
      <alignment horizontal="center" vertical="center"/>
    </xf>
    <xf numFmtId="166" fontId="3" fillId="7" borderId="21" xfId="0" applyNumberFormat="1" applyFont="1" applyFill="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12" fillId="0" borderId="4" xfId="0" applyFont="1" applyBorder="1" applyAlignment="1">
      <alignment vertical="center"/>
    </xf>
    <xf numFmtId="164" fontId="11" fillId="0" borderId="5" xfId="0" applyNumberFormat="1" applyFont="1" applyBorder="1" applyAlignment="1">
      <alignment horizontal="center" vertical="center"/>
    </xf>
    <xf numFmtId="0" fontId="12" fillId="0" borderId="5" xfId="0" applyFont="1" applyBorder="1" applyAlignment="1">
      <alignment horizontal="center" vertical="center"/>
    </xf>
    <xf numFmtId="0" fontId="12" fillId="0" borderId="5" xfId="0" applyFont="1" applyBorder="1" applyAlignment="1">
      <alignment vertical="center" wrapText="1"/>
    </xf>
    <xf numFmtId="0" fontId="12" fillId="0" borderId="7" xfId="0" applyFont="1" applyBorder="1" applyAlignment="1">
      <alignment vertical="center"/>
    </xf>
    <xf numFmtId="165" fontId="11" fillId="0" borderId="8"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vertical="center" wrapText="1"/>
    </xf>
    <xf numFmtId="168" fontId="11" fillId="0" borderId="8" xfId="0" applyNumberFormat="1" applyFont="1" applyBorder="1" applyAlignment="1">
      <alignment horizontal="center" vertical="center"/>
    </xf>
    <xf numFmtId="0" fontId="12" fillId="0" borderId="9" xfId="0" applyFont="1" applyBorder="1" applyAlignment="1">
      <alignment vertical="center"/>
    </xf>
    <xf numFmtId="165" fontId="12" fillId="5" borderId="11" xfId="0" applyNumberFormat="1" applyFont="1" applyFill="1" applyBorder="1" applyAlignment="1">
      <alignment horizontal="center" vertical="center"/>
    </xf>
    <xf numFmtId="0" fontId="12" fillId="0" borderId="11" xfId="0" applyFont="1" applyBorder="1" applyAlignment="1">
      <alignment horizontal="center" vertical="center"/>
    </xf>
    <xf numFmtId="0" fontId="12" fillId="0" borderId="11" xfId="0" applyFont="1" applyBorder="1" applyAlignment="1">
      <alignment vertical="center" wrapText="1"/>
    </xf>
    <xf numFmtId="0" fontId="11" fillId="0" borderId="11" xfId="0" applyFont="1" applyBorder="1" applyAlignment="1">
      <alignment horizontal="center" vertical="center"/>
    </xf>
    <xf numFmtId="0" fontId="11" fillId="0" borderId="8" xfId="0" applyFont="1" applyBorder="1" applyAlignment="1">
      <alignment horizontal="center" vertical="center"/>
    </xf>
    <xf numFmtId="0" fontId="12" fillId="0" borderId="36" xfId="0" applyFont="1" applyBorder="1" applyAlignment="1">
      <alignment vertical="center"/>
    </xf>
    <xf numFmtId="165" fontId="11" fillId="0" borderId="11" xfId="0" applyNumberFormat="1" applyFont="1" applyBorder="1" applyAlignment="1">
      <alignment horizontal="center" vertical="center"/>
    </xf>
    <xf numFmtId="0" fontId="12" fillId="0" borderId="6" xfId="0" applyFont="1" applyBorder="1" applyAlignment="1">
      <alignment horizontal="center" vertical="center"/>
    </xf>
    <xf numFmtId="0" fontId="12" fillId="0" borderId="6" xfId="0" applyFont="1" applyBorder="1" applyAlignment="1">
      <alignment vertical="center" wrapText="1"/>
    </xf>
    <xf numFmtId="165" fontId="12" fillId="5" borderId="8" xfId="0" applyNumberFormat="1" applyFont="1" applyFill="1" applyBorder="1" applyAlignment="1">
      <alignment horizontal="center" vertical="center"/>
    </xf>
    <xf numFmtId="167" fontId="11" fillId="0" borderId="11" xfId="0" applyNumberFormat="1" applyFont="1" applyBorder="1" applyAlignment="1">
      <alignment horizontal="center" vertical="center"/>
    </xf>
    <xf numFmtId="0" fontId="1" fillId="0" borderId="37" xfId="0" applyFont="1" applyBorder="1" applyAlignment="1">
      <alignment vertical="center"/>
    </xf>
    <xf numFmtId="164" fontId="1" fillId="0" borderId="38" xfId="0" applyNumberFormat="1" applyFont="1" applyBorder="1" applyAlignment="1">
      <alignment horizontal="center" vertical="center"/>
    </xf>
    <xf numFmtId="164" fontId="1" fillId="0" borderId="39" xfId="0" applyNumberFormat="1" applyFont="1" applyBorder="1" applyAlignment="1">
      <alignment horizontal="center" vertical="center"/>
    </xf>
    <xf numFmtId="0" fontId="1" fillId="2" borderId="6" xfId="0" applyFont="1" applyFill="1" applyBorder="1" applyAlignment="1">
      <alignment horizontal="left" vertical="center" wrapText="1"/>
    </xf>
    <xf numFmtId="0" fontId="0" fillId="6" borderId="0" xfId="0" applyFill="1"/>
    <xf numFmtId="0" fontId="3" fillId="2" borderId="10" xfId="0" applyFont="1" applyFill="1" applyBorder="1" applyAlignment="1">
      <alignment horizontal="center" vertical="center"/>
    </xf>
    <xf numFmtId="0" fontId="4" fillId="2" borderId="6" xfId="0" applyFont="1" applyFill="1" applyBorder="1" applyAlignment="1">
      <alignment horizontal="left" vertical="center" wrapText="1"/>
    </xf>
    <xf numFmtId="0" fontId="5" fillId="4" borderId="33" xfId="0" applyFont="1" applyFill="1" applyBorder="1" applyAlignment="1">
      <alignment horizontal="center" vertical="center"/>
    </xf>
    <xf numFmtId="0" fontId="0" fillId="0" borderId="34" xfId="0" applyBorder="1"/>
    <xf numFmtId="0" fontId="0" fillId="0" borderId="35" xfId="0" applyBorder="1"/>
    <xf numFmtId="0" fontId="5" fillId="3" borderId="33" xfId="0" applyFont="1" applyFill="1" applyBorder="1" applyAlignment="1">
      <alignment horizontal="center" vertical="center"/>
    </xf>
    <xf numFmtId="0" fontId="2" fillId="0" borderId="0" xfId="0" applyFont="1" applyAlignment="1">
      <alignment vertical="center" wrapText="1"/>
    </xf>
    <xf numFmtId="0" fontId="0" fillId="0" borderId="0" xfId="0"/>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166" fontId="1" fillId="0" borderId="25" xfId="0" applyNumberFormat="1" applyFont="1" applyBorder="1" applyAlignment="1">
      <alignment horizontal="center" vertical="center"/>
    </xf>
    <xf numFmtId="166" fontId="1" fillId="0" borderId="26" xfId="0" applyNumberFormat="1" applyFont="1" applyBorder="1" applyAlignment="1">
      <alignment horizontal="center" vertical="center"/>
    </xf>
    <xf numFmtId="0" fontId="6" fillId="6" borderId="0" xfId="0" applyFont="1" applyFill="1"/>
    <xf numFmtId="3" fontId="6" fillId="6"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GB" b="0">
                <a:solidFill>
                  <a:srgbClr val="757575"/>
                </a:solidFill>
                <a:latin typeface="+mn-lt"/>
              </a:rPr>
              <a:t>The value bridge, Mid scenario, year two</a:t>
            </a:r>
          </a:p>
        </c:rich>
      </c:tx>
      <c:overlay val="0"/>
    </c:title>
    <c:autoTitleDeleted val="0"/>
    <c:plotArea>
      <c:layout/>
      <c:barChart>
        <c:barDir val="col"/>
        <c:grouping val="stacked"/>
        <c:varyColors val="1"/>
        <c:ser>
          <c:idx val="0"/>
          <c:order val="0"/>
          <c:spPr>
            <a:noFill/>
            <a:ln cmpd="sng">
              <a:noFill/>
            </a:ln>
          </c:spPr>
          <c:invertIfNegative val="1"/>
          <c:cat>
            <c:strRef>
              <c:f>Bridge!$B$5:$B$8</c:f>
              <c:strCache>
                <c:ptCount val="4"/>
                <c:pt idx="0">
                  <c:v>Capacity freed, value</c:v>
                </c:pt>
                <c:pt idx="1">
                  <c:v>Not booked</c:v>
                </c:pt>
                <c:pt idx="2">
                  <c:v>Programme cost</c:v>
                </c:pt>
                <c:pt idx="3">
                  <c:v>Net benefit, year 2</c:v>
                </c:pt>
              </c:strCache>
            </c:strRef>
          </c:cat>
          <c:val>
            <c:numRef>
              <c:f>Bridge!$F$5:$F$8</c:f>
              <c:numCache>
                <c:formatCode>#,##0</c:formatCode>
                <c:ptCount val="4"/>
                <c:pt idx="0" formatCode="General">
                  <c:v>0</c:v>
                </c:pt>
                <c:pt idx="1">
                  <c:v>3840</c:v>
                </c:pt>
                <c:pt idx="2">
                  <c:v>1416</c:v>
                </c:pt>
                <c:pt idx="3" formatCode="General">
                  <c:v>0</c:v>
                </c:pt>
              </c:numCache>
            </c:numRef>
          </c:val>
          <c:extLst>
            <c:ext xmlns:c16="http://schemas.microsoft.com/office/drawing/2014/chart" uri="{C3380CC4-5D6E-409C-BE32-E72D297353CC}">
              <c16:uniqueId val="{00000000-7B06-4970-BAD5-D8D8054A1BBF}"/>
            </c:ext>
          </c:extLst>
        </c:ser>
        <c:ser>
          <c:idx val="1"/>
          <c:order val="1"/>
          <c:spPr>
            <a:solidFill>
              <a:srgbClr val="C0504D"/>
            </a:solidFill>
            <a:ln cmpd="sng">
              <a:noFill/>
            </a:ln>
          </c:spPr>
          <c:invertIfNegative val="1"/>
          <c:dPt>
            <c:idx val="0"/>
            <c:invertIfNegative val="1"/>
            <c:bubble3D val="0"/>
            <c:spPr>
              <a:solidFill>
                <a:schemeClr val="accent1"/>
              </a:solidFill>
              <a:ln cmpd="sng">
                <a:noFill/>
              </a:ln>
            </c:spPr>
            <c:extLst>
              <c:ext xmlns:c16="http://schemas.microsoft.com/office/drawing/2014/chart" uri="{C3380CC4-5D6E-409C-BE32-E72D297353CC}">
                <c16:uniqueId val="{00000002-7B06-4970-BAD5-D8D8054A1BBF}"/>
              </c:ext>
            </c:extLst>
          </c:dPt>
          <c:dPt>
            <c:idx val="3"/>
            <c:invertIfNegative val="1"/>
            <c:bubble3D val="0"/>
            <c:spPr>
              <a:solidFill>
                <a:schemeClr val="accent3"/>
              </a:solidFill>
              <a:ln cmpd="sng">
                <a:noFill/>
              </a:ln>
            </c:spPr>
            <c:extLst>
              <c:ext xmlns:c16="http://schemas.microsoft.com/office/drawing/2014/chart" uri="{C3380CC4-5D6E-409C-BE32-E72D297353CC}">
                <c16:uniqueId val="{00000004-7B06-4970-BAD5-D8D8054A1BBF}"/>
              </c:ext>
            </c:extLst>
          </c:dPt>
          <c:dLbls>
            <c:dLbl>
              <c:idx val="3"/>
              <c:spPr/>
              <c:txPr>
                <a:bodyPr/>
                <a:lstStyle/>
                <a:p>
                  <a:pPr lvl="0">
                    <a:defRPr>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4-7B06-4970-BAD5-D8D8054A1BBF}"/>
                </c:ext>
              </c:extLst>
            </c:dLbl>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Bridge!$B$5:$B$8</c:f>
              <c:strCache>
                <c:ptCount val="4"/>
                <c:pt idx="0">
                  <c:v>Capacity freed, value</c:v>
                </c:pt>
                <c:pt idx="1">
                  <c:v>Not booked</c:v>
                </c:pt>
                <c:pt idx="2">
                  <c:v>Programme cost</c:v>
                </c:pt>
                <c:pt idx="3">
                  <c:v>Net benefit, year 2</c:v>
                </c:pt>
              </c:strCache>
            </c:strRef>
          </c:cat>
          <c:val>
            <c:numRef>
              <c:f>Bridge!$G$5:$G$8</c:f>
              <c:numCache>
                <c:formatCode>#,##0</c:formatCode>
                <c:ptCount val="4"/>
                <c:pt idx="0">
                  <c:v>4800</c:v>
                </c:pt>
                <c:pt idx="1">
                  <c:v>959.99999999999977</c:v>
                </c:pt>
                <c:pt idx="2">
                  <c:v>2424</c:v>
                </c:pt>
                <c:pt idx="3">
                  <c:v>1416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7B06-4970-BAD5-D8D8054A1BBF}"/>
            </c:ext>
          </c:extLst>
        </c:ser>
        <c:dLbls>
          <c:showLegendKey val="0"/>
          <c:showVal val="0"/>
          <c:showCatName val="0"/>
          <c:showSerName val="0"/>
          <c:showPercent val="0"/>
          <c:showBubbleSize val="0"/>
        </c:dLbls>
        <c:gapWidth val="150"/>
        <c:overlap val="100"/>
        <c:axId val="49778765"/>
        <c:axId val="1570488036"/>
      </c:barChart>
      <c:catAx>
        <c:axId val="49778765"/>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570488036"/>
        <c:crosses val="autoZero"/>
        <c:auto val="1"/>
        <c:lblAlgn val="ctr"/>
        <c:lblOffset val="100"/>
        <c:noMultiLvlLbl val="1"/>
      </c:catAx>
      <c:valAx>
        <c:axId val="15704880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49778765"/>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352425</xdr:colOff>
      <xdr:row>17</xdr:row>
      <xdr:rowOff>38100</xdr:rowOff>
    </xdr:from>
    <xdr:ext cx="5715000" cy="3533775"/>
    <xdr:graphicFrame macro="">
      <xdr:nvGraphicFramePr>
        <xdr:cNvPr id="1243599875" name="Chart 1" title="Chart">
          <a:extLst>
            <a:ext uri="{FF2B5EF4-FFF2-40B4-BE49-F238E27FC236}">
              <a16:creationId xmlns:a16="http://schemas.microsoft.com/office/drawing/2014/main" id="{00000000-0008-0000-0400-000003D41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33"/>
  <sheetViews>
    <sheetView showGridLines="0" tabSelected="1" workbookViewId="0">
      <selection activeCell="B1" sqref="B1"/>
    </sheetView>
  </sheetViews>
  <sheetFormatPr defaultColWidth="14.453125" defaultRowHeight="15" customHeight="1" x14ac:dyDescent="0.25"/>
  <cols>
    <col min="1" max="1" width="2" style="29" customWidth="1"/>
    <col min="2" max="2" width="33.90625" style="29" customWidth="1"/>
    <col min="3" max="3" width="108.54296875" style="29" customWidth="1"/>
    <col min="4" max="5" width="14" style="29" customWidth="1"/>
    <col min="6" max="6" width="8.7265625" style="29" customWidth="1"/>
    <col min="7" max="7" width="11.453125" style="29" customWidth="1"/>
    <col min="8" max="16384" width="14.453125" style="29"/>
  </cols>
  <sheetData>
    <row r="2" spans="2:3" ht="13" x14ac:dyDescent="0.3">
      <c r="B2" s="28" t="s">
        <v>0</v>
      </c>
    </row>
    <row r="3" spans="2:3" ht="12.5" x14ac:dyDescent="0.25">
      <c r="B3" s="30" t="s">
        <v>1</v>
      </c>
    </row>
    <row r="4" spans="2:3" ht="12.5" x14ac:dyDescent="0.25">
      <c r="B4" s="30" t="s">
        <v>2</v>
      </c>
    </row>
    <row r="6" spans="2:3" ht="37.5" x14ac:dyDescent="0.25">
      <c r="B6" s="26" t="s">
        <v>3</v>
      </c>
      <c r="C6" s="27" t="s">
        <v>4</v>
      </c>
    </row>
    <row r="8" spans="2:3" ht="13" x14ac:dyDescent="0.25">
      <c r="B8" s="26" t="s">
        <v>5</v>
      </c>
      <c r="C8" s="27" t="s">
        <v>140</v>
      </c>
    </row>
    <row r="10" spans="2:3" ht="25" x14ac:dyDescent="0.25">
      <c r="B10" s="26" t="s">
        <v>6</v>
      </c>
      <c r="C10" s="27" t="s">
        <v>7</v>
      </c>
    </row>
    <row r="12" spans="2:3" ht="62.5" x14ac:dyDescent="0.25">
      <c r="B12" s="26" t="s">
        <v>8</v>
      </c>
      <c r="C12" s="27" t="s">
        <v>9</v>
      </c>
    </row>
    <row r="14" spans="2:3" ht="62.5" x14ac:dyDescent="0.25">
      <c r="B14" s="26" t="s">
        <v>10</v>
      </c>
      <c r="C14" s="27" t="s">
        <v>150</v>
      </c>
    </row>
    <row r="16" spans="2:3" ht="13" x14ac:dyDescent="0.25">
      <c r="B16" s="26" t="s">
        <v>11</v>
      </c>
      <c r="C16" s="31" t="s">
        <v>12</v>
      </c>
    </row>
    <row r="20" spans="1:3" ht="15" customHeight="1" x14ac:dyDescent="0.25">
      <c r="B20" s="32" t="s">
        <v>141</v>
      </c>
      <c r="C20" s="32" t="s">
        <v>128</v>
      </c>
    </row>
    <row r="21" spans="1:3" ht="15" customHeight="1" x14ac:dyDescent="0.25">
      <c r="B21" s="33" t="s">
        <v>138</v>
      </c>
      <c r="C21" s="33" t="s">
        <v>129</v>
      </c>
    </row>
    <row r="22" spans="1:3" ht="15" customHeight="1" x14ac:dyDescent="0.25">
      <c r="B22" s="33" t="s">
        <v>130</v>
      </c>
      <c r="C22" s="33" t="s">
        <v>142</v>
      </c>
    </row>
    <row r="23" spans="1:3" ht="15" customHeight="1" x14ac:dyDescent="0.25">
      <c r="B23" s="33" t="s">
        <v>131</v>
      </c>
      <c r="C23" s="33" t="s">
        <v>139</v>
      </c>
    </row>
    <row r="24" spans="1:3" ht="15" customHeight="1" x14ac:dyDescent="0.25">
      <c r="B24" s="33" t="s">
        <v>132</v>
      </c>
      <c r="C24" s="33" t="s">
        <v>133</v>
      </c>
    </row>
    <row r="25" spans="1:3" ht="15" customHeight="1" x14ac:dyDescent="0.25">
      <c r="A25" s="33"/>
      <c r="B25" s="33" t="s">
        <v>134</v>
      </c>
      <c r="C25" s="33" t="s">
        <v>135</v>
      </c>
    </row>
    <row r="26" spans="1:3" ht="15" customHeight="1" x14ac:dyDescent="0.25">
      <c r="B26" s="33" t="s">
        <v>136</v>
      </c>
      <c r="C26" s="33" t="s">
        <v>137</v>
      </c>
    </row>
    <row r="27" spans="1:3" ht="15" customHeight="1" x14ac:dyDescent="0.25">
      <c r="B27" s="34"/>
      <c r="C27" s="34"/>
    </row>
    <row r="28" spans="1:3" ht="30" customHeight="1" x14ac:dyDescent="0.25">
      <c r="B28" s="26" t="s">
        <v>154</v>
      </c>
      <c r="C28" s="27" t="s">
        <v>155</v>
      </c>
    </row>
    <row r="29" spans="1:3" ht="15" customHeight="1" x14ac:dyDescent="0.25">
      <c r="B29" s="34"/>
      <c r="C29" s="34"/>
    </row>
    <row r="30" spans="1:3" ht="15" customHeight="1" x14ac:dyDescent="0.25">
      <c r="B30" s="34"/>
      <c r="C30" s="34"/>
    </row>
    <row r="31" spans="1:3" ht="15" customHeight="1" x14ac:dyDescent="0.25">
      <c r="B31" s="34"/>
      <c r="C31" s="34"/>
    </row>
    <row r="32" spans="1:3" ht="15" customHeight="1" x14ac:dyDescent="0.25">
      <c r="B32" s="34"/>
      <c r="C32" s="34"/>
    </row>
    <row r="33" spans="2:3" ht="15" customHeight="1" x14ac:dyDescent="0.25">
      <c r="B33" s="34"/>
      <c r="C33" s="34"/>
    </row>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15"/>
  <sheetViews>
    <sheetView showGridLines="0" workbookViewId="0">
      <selection activeCell="B1" sqref="B1"/>
    </sheetView>
  </sheetViews>
  <sheetFormatPr defaultColWidth="14.453125" defaultRowHeight="15" customHeight="1" x14ac:dyDescent="0.35"/>
  <cols>
    <col min="1" max="1" width="2" customWidth="1"/>
    <col min="2" max="2" width="36.81640625" customWidth="1"/>
    <col min="3" max="3" width="11" customWidth="1"/>
    <col min="4" max="4" width="12.7265625" customWidth="1"/>
    <col min="5" max="5" width="82.7265625" customWidth="1"/>
    <col min="6" max="6" width="83.81640625" customWidth="1"/>
    <col min="7" max="7" width="39" customWidth="1"/>
    <col min="8" max="8" width="10.26953125" customWidth="1"/>
    <col min="9" max="26" width="8.7265625" customWidth="1"/>
  </cols>
  <sheetData>
    <row r="2" spans="2:7" ht="15.75" customHeight="1" x14ac:dyDescent="0.35">
      <c r="B2" s="46" t="s">
        <v>13</v>
      </c>
      <c r="C2" s="47" t="s">
        <v>14</v>
      </c>
      <c r="D2" s="47" t="s">
        <v>15</v>
      </c>
      <c r="E2" s="47" t="s">
        <v>16</v>
      </c>
      <c r="F2" s="47" t="s">
        <v>17</v>
      </c>
      <c r="G2" s="47" t="s">
        <v>18</v>
      </c>
    </row>
    <row r="3" spans="2:7" ht="45.75" customHeight="1" x14ac:dyDescent="0.35">
      <c r="B3" s="48" t="s">
        <v>20</v>
      </c>
      <c r="C3" s="49">
        <v>300</v>
      </c>
      <c r="D3" s="50" t="s">
        <v>23</v>
      </c>
      <c r="E3" s="51" t="s">
        <v>25</v>
      </c>
      <c r="F3" s="51" t="s">
        <v>26</v>
      </c>
      <c r="G3" s="51" t="s">
        <v>28</v>
      </c>
    </row>
    <row r="4" spans="2:7" ht="45.75" customHeight="1" x14ac:dyDescent="0.35">
      <c r="B4" s="52" t="s">
        <v>29</v>
      </c>
      <c r="C4" s="53">
        <v>160</v>
      </c>
      <c r="D4" s="54" t="s">
        <v>31</v>
      </c>
      <c r="E4" s="55" t="s">
        <v>32</v>
      </c>
      <c r="F4" s="55" t="s">
        <v>33</v>
      </c>
      <c r="G4" s="55" t="s">
        <v>34</v>
      </c>
    </row>
    <row r="5" spans="2:7" ht="45.75" customHeight="1" x14ac:dyDescent="0.35">
      <c r="B5" s="52" t="s">
        <v>35</v>
      </c>
      <c r="C5" s="56">
        <v>1.25</v>
      </c>
      <c r="D5" s="54" t="s">
        <v>36</v>
      </c>
      <c r="E5" s="55" t="s">
        <v>37</v>
      </c>
      <c r="F5" s="55"/>
      <c r="G5" s="55" t="s">
        <v>38</v>
      </c>
    </row>
    <row r="6" spans="2:7" ht="45.75" customHeight="1" x14ac:dyDescent="0.35">
      <c r="B6" s="57" t="s">
        <v>40</v>
      </c>
      <c r="C6" s="58">
        <f>400/C5</f>
        <v>320</v>
      </c>
      <c r="D6" s="59" t="s">
        <v>42</v>
      </c>
      <c r="E6" s="60" t="s">
        <v>44</v>
      </c>
      <c r="F6" s="60" t="s">
        <v>46</v>
      </c>
      <c r="G6" s="60" t="s">
        <v>47</v>
      </c>
    </row>
    <row r="7" spans="2:7" ht="45.75" customHeight="1" x14ac:dyDescent="0.35">
      <c r="B7" s="57" t="s">
        <v>48</v>
      </c>
      <c r="C7" s="61">
        <v>60</v>
      </c>
      <c r="D7" s="59" t="s">
        <v>49</v>
      </c>
      <c r="E7" s="60" t="s">
        <v>50</v>
      </c>
      <c r="F7" s="60" t="s">
        <v>51</v>
      </c>
      <c r="G7" s="60" t="s">
        <v>52</v>
      </c>
    </row>
    <row r="8" spans="2:7" ht="45.75" customHeight="1" x14ac:dyDescent="0.35">
      <c r="B8" s="52" t="s">
        <v>57</v>
      </c>
      <c r="C8" s="62">
        <v>3</v>
      </c>
      <c r="D8" s="54" t="s">
        <v>49</v>
      </c>
      <c r="E8" s="55" t="s">
        <v>59</v>
      </c>
      <c r="F8" s="55" t="s">
        <v>60</v>
      </c>
      <c r="G8" s="55" t="s">
        <v>61</v>
      </c>
    </row>
    <row r="9" spans="2:7" ht="45.75" customHeight="1" x14ac:dyDescent="0.35">
      <c r="B9" s="52" t="s">
        <v>62</v>
      </c>
      <c r="C9" s="62">
        <v>2</v>
      </c>
      <c r="D9" s="54" t="s">
        <v>49</v>
      </c>
      <c r="E9" s="55" t="s">
        <v>64</v>
      </c>
      <c r="F9" s="55" t="s">
        <v>65</v>
      </c>
      <c r="G9" s="55" t="s">
        <v>66</v>
      </c>
    </row>
    <row r="10" spans="2:7" ht="15" customHeight="1" x14ac:dyDescent="0.35">
      <c r="B10" s="63" t="s">
        <v>143</v>
      </c>
      <c r="C10" s="64">
        <v>6</v>
      </c>
      <c r="D10" s="65" t="s">
        <v>144</v>
      </c>
      <c r="E10" s="66" t="s">
        <v>153</v>
      </c>
      <c r="F10" s="29"/>
      <c r="G10" s="66" t="s">
        <v>70</v>
      </c>
    </row>
    <row r="11" spans="2:7" ht="45.75" customHeight="1" x14ac:dyDescent="0.35">
      <c r="B11" s="52" t="s">
        <v>67</v>
      </c>
      <c r="C11" s="67">
        <f>C10*12</f>
        <v>72</v>
      </c>
      <c r="D11" s="54" t="s">
        <v>31</v>
      </c>
      <c r="E11" s="55" t="s">
        <v>68</v>
      </c>
      <c r="F11" s="55" t="s">
        <v>69</v>
      </c>
      <c r="G11" s="55" t="s">
        <v>70</v>
      </c>
    </row>
    <row r="12" spans="2:7" ht="61.5" customHeight="1" x14ac:dyDescent="0.35">
      <c r="B12" s="57" t="s">
        <v>72</v>
      </c>
      <c r="C12" s="68">
        <v>1.7</v>
      </c>
      <c r="D12" s="59" t="s">
        <v>73</v>
      </c>
      <c r="E12" s="55" t="s">
        <v>74</v>
      </c>
      <c r="F12" s="60" t="s">
        <v>75</v>
      </c>
      <c r="G12" s="60" t="s">
        <v>76</v>
      </c>
    </row>
    <row r="13" spans="2:7" ht="45.75" customHeight="1" x14ac:dyDescent="0.35">
      <c r="B13" s="52" t="s">
        <v>77</v>
      </c>
      <c r="C13" s="68">
        <v>0.8</v>
      </c>
      <c r="D13" s="54" t="s">
        <v>73</v>
      </c>
      <c r="E13" s="55" t="s">
        <v>78</v>
      </c>
      <c r="F13" s="55" t="s">
        <v>79</v>
      </c>
      <c r="G13" s="55" t="s">
        <v>80</v>
      </c>
    </row>
    <row r="14" spans="2:7" ht="45.75" customHeight="1" x14ac:dyDescent="0.35">
      <c r="B14" s="57" t="s">
        <v>82</v>
      </c>
      <c r="C14" s="64">
        <v>0</v>
      </c>
      <c r="D14" s="59" t="s">
        <v>31</v>
      </c>
      <c r="E14" s="60" t="s">
        <v>83</v>
      </c>
      <c r="F14" s="60" t="s">
        <v>84</v>
      </c>
      <c r="G14" s="60" t="s">
        <v>85</v>
      </c>
    </row>
    <row r="15" spans="2:7" ht="25" x14ac:dyDescent="0.35">
      <c r="B15" s="52" t="s">
        <v>145</v>
      </c>
      <c r="C15" s="53">
        <v>0</v>
      </c>
      <c r="D15" s="54" t="s">
        <v>151</v>
      </c>
      <c r="E15" s="55" t="s">
        <v>146</v>
      </c>
      <c r="F15" s="55" t="s">
        <v>148</v>
      </c>
      <c r="G15" s="55" t="s">
        <v>147</v>
      </c>
    </row>
  </sheetData>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K10"/>
  <sheetViews>
    <sheetView workbookViewId="0">
      <selection activeCell="B1" sqref="B1"/>
    </sheetView>
  </sheetViews>
  <sheetFormatPr defaultColWidth="14.453125" defaultRowHeight="15" customHeight="1" x14ac:dyDescent="0.35"/>
  <cols>
    <col min="1" max="1" width="1.54296875" style="43" customWidth="1"/>
    <col min="2" max="2" width="18.7265625" style="43" customWidth="1"/>
    <col min="3" max="10" width="14.453125" style="43"/>
    <col min="11" max="11" width="13.54296875" style="43" customWidth="1"/>
    <col min="12" max="16384" width="14.453125" style="43"/>
  </cols>
  <sheetData>
    <row r="2" spans="2:11" ht="32.25" customHeight="1" x14ac:dyDescent="0.35">
      <c r="B2" s="72" t="s">
        <v>27</v>
      </c>
      <c r="C2" s="73"/>
      <c r="D2" s="73"/>
      <c r="E2" s="73"/>
      <c r="F2" s="73"/>
      <c r="G2" s="73"/>
      <c r="H2" s="73"/>
      <c r="I2" s="73"/>
      <c r="J2" s="73"/>
      <c r="K2" s="73"/>
    </row>
    <row r="4" spans="2:11" ht="14.5" x14ac:dyDescent="0.35">
      <c r="C4" s="74" t="s">
        <v>41</v>
      </c>
      <c r="D4" s="73"/>
      <c r="E4" s="73"/>
      <c r="F4" s="74" t="s">
        <v>43</v>
      </c>
      <c r="G4" s="73"/>
      <c r="H4" s="73"/>
      <c r="I4" s="74" t="s">
        <v>45</v>
      </c>
      <c r="J4" s="73"/>
      <c r="K4" s="73"/>
    </row>
    <row r="5" spans="2:11" ht="14.5" x14ac:dyDescent="0.35">
      <c r="B5" s="2" t="s">
        <v>53</v>
      </c>
      <c r="C5" s="3" t="s">
        <v>54</v>
      </c>
      <c r="D5" s="4" t="s">
        <v>55</v>
      </c>
      <c r="E5" s="5" t="s">
        <v>56</v>
      </c>
      <c r="F5" s="3" t="s">
        <v>54</v>
      </c>
      <c r="G5" s="4" t="s">
        <v>55</v>
      </c>
      <c r="H5" s="5" t="s">
        <v>56</v>
      </c>
      <c r="I5" s="3" t="s">
        <v>54</v>
      </c>
      <c r="J5" s="4" t="s">
        <v>55</v>
      </c>
      <c r="K5" s="5" t="s">
        <v>56</v>
      </c>
    </row>
    <row r="6" spans="2:11" ht="14.5" x14ac:dyDescent="0.35">
      <c r="B6" s="8" t="s">
        <v>63</v>
      </c>
      <c r="C6" s="37">
        <v>0.05</v>
      </c>
      <c r="D6" s="38">
        <v>0.4</v>
      </c>
      <c r="E6" s="44">
        <f t="shared" ref="E6:E8" si="0">D6*C6</f>
        <v>2.0000000000000004E-2</v>
      </c>
      <c r="F6" s="37">
        <v>0.08</v>
      </c>
      <c r="G6" s="38">
        <v>0.7</v>
      </c>
      <c r="H6" s="44">
        <f t="shared" ref="H6:H8" si="1">F6*G6</f>
        <v>5.5999999999999994E-2</v>
      </c>
      <c r="I6" s="37">
        <v>0.08</v>
      </c>
      <c r="J6" s="38">
        <v>0.7</v>
      </c>
      <c r="K6" s="44">
        <f t="shared" ref="K6:K8" si="2">I6*J6</f>
        <v>5.5999999999999994E-2</v>
      </c>
    </row>
    <row r="7" spans="2:11" ht="14.5" x14ac:dyDescent="0.35">
      <c r="B7" s="10" t="s">
        <v>81</v>
      </c>
      <c r="C7" s="39">
        <v>0.06</v>
      </c>
      <c r="D7" s="40">
        <v>0.5</v>
      </c>
      <c r="E7" s="45">
        <f t="shared" si="0"/>
        <v>0.03</v>
      </c>
      <c r="F7" s="39">
        <v>0.1</v>
      </c>
      <c r="G7" s="40">
        <v>0.8</v>
      </c>
      <c r="H7" s="45">
        <f t="shared" si="1"/>
        <v>8.0000000000000016E-2</v>
      </c>
      <c r="I7" s="39">
        <v>0.1</v>
      </c>
      <c r="J7" s="40">
        <v>0.8</v>
      </c>
      <c r="K7" s="45">
        <f t="shared" si="2"/>
        <v>8.0000000000000016E-2</v>
      </c>
    </row>
    <row r="8" spans="2:11" ht="14.5" x14ac:dyDescent="0.35">
      <c r="B8" s="10" t="s">
        <v>87</v>
      </c>
      <c r="C8" s="39">
        <v>0.08</v>
      </c>
      <c r="D8" s="40">
        <v>0.6</v>
      </c>
      <c r="E8" s="45">
        <f t="shared" si="0"/>
        <v>4.8000000000000001E-2</v>
      </c>
      <c r="F8" s="39">
        <v>0.14000000000000001</v>
      </c>
      <c r="G8" s="40">
        <v>0.85</v>
      </c>
      <c r="H8" s="45">
        <f t="shared" si="1"/>
        <v>0.11900000000000001</v>
      </c>
      <c r="I8" s="39">
        <v>0.14000000000000001</v>
      </c>
      <c r="J8" s="40">
        <v>0.85</v>
      </c>
      <c r="K8" s="45">
        <f t="shared" si="2"/>
        <v>0.11900000000000001</v>
      </c>
    </row>
    <row r="10" spans="2:11" ht="48" customHeight="1" x14ac:dyDescent="0.35">
      <c r="B10" s="75" t="s">
        <v>94</v>
      </c>
      <c r="C10" s="73"/>
      <c r="D10" s="73"/>
      <c r="E10" s="73"/>
      <c r="F10" s="73"/>
      <c r="G10" s="73"/>
      <c r="H10" s="73"/>
      <c r="I10" s="73"/>
      <c r="J10" s="73"/>
      <c r="K10" s="73"/>
    </row>
  </sheetData>
  <mergeCells count="5">
    <mergeCell ref="B2:K2"/>
    <mergeCell ref="C4:E4"/>
    <mergeCell ref="F4:H4"/>
    <mergeCell ref="I4:K4"/>
    <mergeCell ref="B10:K10"/>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48"/>
  <sheetViews>
    <sheetView showGridLines="0" workbookViewId="0">
      <selection activeCell="B1" sqref="B1"/>
    </sheetView>
  </sheetViews>
  <sheetFormatPr defaultColWidth="14.453125" defaultRowHeight="15" customHeight="1" x14ac:dyDescent="0.35"/>
  <cols>
    <col min="1" max="1" width="2" customWidth="1"/>
    <col min="2" max="2" width="34" customWidth="1"/>
    <col min="3" max="4" width="14" customWidth="1"/>
    <col min="5" max="5" width="14.81640625" customWidth="1"/>
    <col min="6" max="6" width="85.453125" customWidth="1"/>
  </cols>
  <sheetData>
    <row r="2" spans="2:10" thickBot="1" x14ac:dyDescent="0.4">
      <c r="B2" s="1" t="s">
        <v>19</v>
      </c>
      <c r="C2" s="1" t="s">
        <v>21</v>
      </c>
      <c r="D2" s="1" t="s">
        <v>22</v>
      </c>
      <c r="E2" s="1" t="s">
        <v>24</v>
      </c>
    </row>
    <row r="3" spans="2:10" thickBot="1" x14ac:dyDescent="0.4">
      <c r="B3" s="79" t="s">
        <v>30</v>
      </c>
      <c r="C3" s="77"/>
      <c r="D3" s="77"/>
      <c r="E3" s="78"/>
    </row>
    <row r="4" spans="2:10" ht="14.5" x14ac:dyDescent="0.35">
      <c r="B4" s="16" t="s">
        <v>39</v>
      </c>
      <c r="C4" s="17">
        <f>Inputs!C3</f>
        <v>300</v>
      </c>
      <c r="D4" s="17">
        <f>Inputs!C3</f>
        <v>300</v>
      </c>
      <c r="E4" s="18">
        <f>Inputs!C3</f>
        <v>300</v>
      </c>
    </row>
    <row r="5" spans="2:10" ht="14.5" x14ac:dyDescent="0.35">
      <c r="B5" s="6" t="s">
        <v>58</v>
      </c>
      <c r="C5" s="7">
        <f>C4*Inputs!$C$4</f>
        <v>48000</v>
      </c>
      <c r="D5" s="7">
        <f>D4*Inputs!$C$4</f>
        <v>48000</v>
      </c>
      <c r="E5" s="9">
        <f>E4*Inputs!$C$4</f>
        <v>48000</v>
      </c>
    </row>
    <row r="6" spans="2:10" ht="14.5" x14ac:dyDescent="0.35">
      <c r="B6" s="6" t="s">
        <v>71</v>
      </c>
      <c r="C6" s="7">
        <f>C4/100*Inputs!C8</f>
        <v>9</v>
      </c>
      <c r="D6" s="7">
        <f>D4/100*Inputs!C9</f>
        <v>6</v>
      </c>
      <c r="E6" s="9">
        <f>E4/100*Inputs!C9</f>
        <v>6</v>
      </c>
    </row>
    <row r="7" spans="2:10" ht="14.5" x14ac:dyDescent="0.35">
      <c r="B7" s="6" t="s">
        <v>86</v>
      </c>
      <c r="C7" s="7">
        <f>C6*Inputs!$C$4</f>
        <v>1440</v>
      </c>
      <c r="D7" s="7">
        <f>D6*Inputs!$C$4</f>
        <v>960</v>
      </c>
      <c r="E7" s="9">
        <f>E6*Inputs!$C$4</f>
        <v>960</v>
      </c>
      <c r="F7" s="11" t="s">
        <v>88</v>
      </c>
    </row>
    <row r="8" spans="2:10" ht="14.5" x14ac:dyDescent="0.35">
      <c r="B8" s="6" t="s">
        <v>89</v>
      </c>
      <c r="C8" s="7">
        <f>Inputs!$C$6*Inputs!$C$3*12/1000*Inputs!$C$7/100</f>
        <v>691.2</v>
      </c>
      <c r="D8" s="7">
        <f>Inputs!$C$6*Inputs!$C$3*12/1000</f>
        <v>1152</v>
      </c>
      <c r="E8" s="9">
        <f t="shared" ref="E8:E10" si="0">D8</f>
        <v>1152</v>
      </c>
      <c r="F8" s="11" t="s">
        <v>90</v>
      </c>
    </row>
    <row r="9" spans="2:10" ht="14.5" x14ac:dyDescent="0.35">
      <c r="B9" s="6" t="s">
        <v>91</v>
      </c>
      <c r="C9" s="7">
        <f>Inputs!$C$11*Inputs!$C$7/100</f>
        <v>43.2</v>
      </c>
      <c r="D9" s="7">
        <f>Inputs!$C$11</f>
        <v>72</v>
      </c>
      <c r="E9" s="9">
        <f t="shared" si="0"/>
        <v>72</v>
      </c>
      <c r="F9" s="11" t="s">
        <v>92</v>
      </c>
    </row>
    <row r="10" spans="2:10" ht="14.5" x14ac:dyDescent="0.35">
      <c r="B10" s="6" t="s">
        <v>93</v>
      </c>
      <c r="C10" s="7">
        <f>Inputs!C12*Inputs!C3</f>
        <v>510</v>
      </c>
      <c r="D10" s="7">
        <f>Inputs!C13*Inputs!C3</f>
        <v>240</v>
      </c>
      <c r="E10" s="9">
        <f t="shared" si="0"/>
        <v>240</v>
      </c>
      <c r="F10" s="11" t="s">
        <v>95</v>
      </c>
    </row>
    <row r="11" spans="2:10" ht="14.5" x14ac:dyDescent="0.35">
      <c r="B11" s="69" t="s">
        <v>96</v>
      </c>
      <c r="C11" s="70">
        <f>Inputs!$C$14</f>
        <v>0</v>
      </c>
      <c r="D11" s="70">
        <f>C11</f>
        <v>0</v>
      </c>
      <c r="E11" s="71">
        <f>C11</f>
        <v>0</v>
      </c>
      <c r="F11" s="11"/>
    </row>
    <row r="12" spans="2:10" thickBot="1" x14ac:dyDescent="0.4">
      <c r="B12" s="12" t="s">
        <v>149</v>
      </c>
      <c r="C12" s="13">
        <f>Inputs!C15</f>
        <v>0</v>
      </c>
      <c r="D12" s="13">
        <v>0</v>
      </c>
      <c r="E12" s="14">
        <v>0</v>
      </c>
    </row>
    <row r="13" spans="2:10" ht="15" customHeight="1" thickBot="1" x14ac:dyDescent="0.4"/>
    <row r="14" spans="2:10" thickBot="1" x14ac:dyDescent="0.4">
      <c r="B14" s="79" t="s">
        <v>97</v>
      </c>
      <c r="C14" s="77"/>
      <c r="D14" s="77"/>
      <c r="E14" s="78"/>
    </row>
    <row r="15" spans="2:10" ht="14.5" x14ac:dyDescent="0.35">
      <c r="B15" s="16" t="s">
        <v>98</v>
      </c>
      <c r="C15" s="17">
        <f t="shared" ref="C15:E15" si="1">SUM(C7:C12)</f>
        <v>2684.3999999999996</v>
      </c>
      <c r="D15" s="17">
        <f t="shared" si="1"/>
        <v>2424</v>
      </c>
      <c r="E15" s="18">
        <f t="shared" si="1"/>
        <v>2424</v>
      </c>
    </row>
    <row r="16" spans="2:10" ht="14.5" x14ac:dyDescent="0.35">
      <c r="B16" s="12" t="s">
        <v>99</v>
      </c>
      <c r="C16" s="19">
        <f t="shared" ref="C16:E16" si="2">C15/C5</f>
        <v>5.5924999999999996E-2</v>
      </c>
      <c r="D16" s="19">
        <f t="shared" si="2"/>
        <v>5.0500000000000003E-2</v>
      </c>
      <c r="E16" s="20">
        <f t="shared" si="2"/>
        <v>5.0500000000000003E-2</v>
      </c>
      <c r="F16" s="80" t="s">
        <v>100</v>
      </c>
      <c r="G16" s="81"/>
      <c r="H16" s="81"/>
      <c r="I16" s="81"/>
      <c r="J16" s="81"/>
    </row>
    <row r="17" spans="2:10" ht="15" customHeight="1" thickBot="1" x14ac:dyDescent="0.4"/>
    <row r="18" spans="2:10" ht="15" customHeight="1" thickBot="1" x14ac:dyDescent="0.4">
      <c r="B18" s="79" t="s">
        <v>101</v>
      </c>
      <c r="C18" s="77"/>
      <c r="D18" s="77"/>
      <c r="E18" s="78"/>
    </row>
    <row r="19" spans="2:10" ht="27" customHeight="1" thickBot="1" x14ac:dyDescent="0.4">
      <c r="B19" s="82" t="s">
        <v>102</v>
      </c>
      <c r="C19" s="83"/>
      <c r="D19" s="83"/>
      <c r="E19" s="84"/>
      <c r="F19" s="80" t="s">
        <v>103</v>
      </c>
      <c r="G19" s="81"/>
      <c r="H19" s="81"/>
      <c r="I19" s="81"/>
      <c r="J19" s="81"/>
    </row>
    <row r="20" spans="2:10" ht="14.5" x14ac:dyDescent="0.35">
      <c r="B20" s="16" t="s">
        <v>104</v>
      </c>
      <c r="C20" s="17">
        <f>C5*Scenarios!E6</f>
        <v>960.00000000000023</v>
      </c>
      <c r="D20" s="17">
        <f>D5*Scenarios!H6</f>
        <v>2687.9999999999995</v>
      </c>
      <c r="E20" s="18">
        <f>E5*Scenarios!K6</f>
        <v>2687.9999999999995</v>
      </c>
      <c r="F20" s="11" t="s">
        <v>105</v>
      </c>
    </row>
    <row r="21" spans="2:10" ht="14.5" x14ac:dyDescent="0.35">
      <c r="B21" s="6" t="s">
        <v>106</v>
      </c>
      <c r="C21" s="7">
        <f t="shared" ref="C21:E21" si="3">C20-C$15</f>
        <v>-1724.3999999999994</v>
      </c>
      <c r="D21" s="7">
        <f t="shared" si="3"/>
        <v>263.99999999999955</v>
      </c>
      <c r="E21" s="9">
        <f t="shared" si="3"/>
        <v>263.99999999999955</v>
      </c>
      <c r="F21" s="11" t="s">
        <v>127</v>
      </c>
    </row>
    <row r="22" spans="2:10" ht="14.5" x14ac:dyDescent="0.35">
      <c r="B22" s="6" t="s">
        <v>110</v>
      </c>
      <c r="C22" s="7">
        <f>C21</f>
        <v>-1724.3999999999994</v>
      </c>
      <c r="D22" s="7">
        <f t="shared" ref="D22:E22" si="4">C22+D21</f>
        <v>-1460.3999999999999</v>
      </c>
      <c r="E22" s="9">
        <f t="shared" si="4"/>
        <v>-1196.4000000000003</v>
      </c>
    </row>
    <row r="23" spans="2:10" thickBot="1" x14ac:dyDescent="0.4">
      <c r="B23" s="12" t="s">
        <v>112</v>
      </c>
      <c r="C23" s="19" t="str">
        <f>IF(C22&gt;0,"Year 1",IF(D22&gt;0,"Year 2",IF(E22&gt;0,"Year 3","Beyond Year 3")))</f>
        <v>Beyond Year 3</v>
      </c>
      <c r="D23" s="19"/>
      <c r="E23" s="20"/>
    </row>
    <row r="24" spans="2:10" ht="15" customHeight="1" thickBot="1" x14ac:dyDescent="0.4"/>
    <row r="25" spans="2:10" thickBot="1" x14ac:dyDescent="0.4">
      <c r="B25" s="82" t="s">
        <v>116</v>
      </c>
      <c r="C25" s="77"/>
      <c r="D25" s="77"/>
      <c r="E25" s="78"/>
    </row>
    <row r="26" spans="2:10" ht="14.5" x14ac:dyDescent="0.35">
      <c r="B26" s="16" t="s">
        <v>104</v>
      </c>
      <c r="C26" s="17">
        <f>C5*Scenarios!E7</f>
        <v>1440</v>
      </c>
      <c r="D26" s="17">
        <f>D5*Scenarios!H7</f>
        <v>3840.0000000000009</v>
      </c>
      <c r="E26" s="18">
        <f>E5*Scenarios!K7</f>
        <v>3840.0000000000009</v>
      </c>
    </row>
    <row r="27" spans="2:10" ht="14.5" x14ac:dyDescent="0.35">
      <c r="B27" s="6" t="s">
        <v>106</v>
      </c>
      <c r="C27" s="7">
        <f t="shared" ref="C27:E27" si="5">C26-C$15</f>
        <v>-1244.3999999999996</v>
      </c>
      <c r="D27" s="7">
        <f t="shared" si="5"/>
        <v>1416.0000000000009</v>
      </c>
      <c r="E27" s="9">
        <f t="shared" si="5"/>
        <v>1416.0000000000009</v>
      </c>
    </row>
    <row r="28" spans="2:10" ht="15.75" customHeight="1" x14ac:dyDescent="0.35">
      <c r="B28" s="6" t="s">
        <v>110</v>
      </c>
      <c r="C28" s="7">
        <f>C27</f>
        <v>-1244.3999999999996</v>
      </c>
      <c r="D28" s="7">
        <f t="shared" ref="D28:E28" si="6">C28+D27</f>
        <v>171.60000000000127</v>
      </c>
      <c r="E28" s="9">
        <f t="shared" si="6"/>
        <v>1587.6000000000022</v>
      </c>
    </row>
    <row r="29" spans="2:10" ht="15.75" customHeight="1" thickBot="1" x14ac:dyDescent="0.4">
      <c r="B29" s="12" t="s">
        <v>112</v>
      </c>
      <c r="C29" s="85" t="str">
        <f>IF(C28&gt;0,"Year 1",IF(D28&gt;0,"Year 2",IF(E28&gt;0,"Year 3","Beyond Year 3")))</f>
        <v>Year 2</v>
      </c>
      <c r="D29" s="85"/>
      <c r="E29" s="86"/>
    </row>
    <row r="30" spans="2:10" ht="15" customHeight="1" thickBot="1" x14ac:dyDescent="0.4"/>
    <row r="31" spans="2:10" ht="15.75" customHeight="1" thickBot="1" x14ac:dyDescent="0.4">
      <c r="B31" s="82" t="s">
        <v>120</v>
      </c>
      <c r="C31" s="77"/>
      <c r="D31" s="77"/>
      <c r="E31" s="78"/>
    </row>
    <row r="32" spans="2:10" ht="15.75" customHeight="1" x14ac:dyDescent="0.35">
      <c r="B32" s="16" t="s">
        <v>104</v>
      </c>
      <c r="C32" s="17">
        <f>C5*Scenarios!E8</f>
        <v>2304</v>
      </c>
      <c r="D32" s="17">
        <f>D5*Scenarios!H8</f>
        <v>5712</v>
      </c>
      <c r="E32" s="18">
        <f>E5*Scenarios!K8</f>
        <v>5712</v>
      </c>
    </row>
    <row r="33" spans="2:6" ht="15.75" customHeight="1" x14ac:dyDescent="0.35">
      <c r="B33" s="6" t="s">
        <v>106</v>
      </c>
      <c r="C33" s="7">
        <f t="shared" ref="C33:E33" si="7">C32-C$15</f>
        <v>-380.39999999999964</v>
      </c>
      <c r="D33" s="7">
        <f t="shared" si="7"/>
        <v>3288</v>
      </c>
      <c r="E33" s="9">
        <f t="shared" si="7"/>
        <v>3288</v>
      </c>
    </row>
    <row r="34" spans="2:6" ht="15.75" customHeight="1" x14ac:dyDescent="0.35">
      <c r="B34" s="6" t="s">
        <v>110</v>
      </c>
      <c r="C34" s="7">
        <f>C33</f>
        <v>-380.39999999999964</v>
      </c>
      <c r="D34" s="7">
        <f t="shared" ref="D34:E34" si="8">C34+D33</f>
        <v>2907.6000000000004</v>
      </c>
      <c r="E34" s="9">
        <f t="shared" si="8"/>
        <v>6195.6</v>
      </c>
    </row>
    <row r="35" spans="2:6" ht="15.75" customHeight="1" thickBot="1" x14ac:dyDescent="0.4">
      <c r="B35" s="12" t="s">
        <v>112</v>
      </c>
      <c r="C35" s="85" t="str">
        <f>IF(C34&gt;0,"Year 1",IF(D34&gt;0,"Year 2",IF(E34&gt;0,"Year 3","Beyond Year 3")))</f>
        <v>Year 2</v>
      </c>
      <c r="D35" s="85"/>
      <c r="E35" s="86"/>
    </row>
    <row r="36" spans="2:6" ht="15" customHeight="1" thickBot="1" x14ac:dyDescent="0.4"/>
    <row r="37" spans="2:6" ht="15.75" customHeight="1" thickBot="1" x14ac:dyDescent="0.4">
      <c r="B37" s="79" t="s">
        <v>121</v>
      </c>
      <c r="C37" s="77"/>
      <c r="D37" s="77"/>
      <c r="E37" s="78"/>
    </row>
    <row r="38" spans="2:6" ht="15" customHeight="1" thickBot="1" x14ac:dyDescent="0.4"/>
    <row r="39" spans="2:6" ht="15.75" customHeight="1" thickBot="1" x14ac:dyDescent="0.4">
      <c r="B39" s="76" t="s">
        <v>122</v>
      </c>
      <c r="C39" s="77"/>
      <c r="D39" s="77"/>
      <c r="E39" s="78"/>
    </row>
    <row r="40" spans="2:6" ht="15.75" customHeight="1" x14ac:dyDescent="0.35">
      <c r="B40" s="16"/>
      <c r="C40" s="35">
        <v>0.3</v>
      </c>
      <c r="D40" s="35">
        <v>0.5</v>
      </c>
      <c r="E40" s="36">
        <v>0.7</v>
      </c>
    </row>
    <row r="41" spans="2:6" ht="15.75" customHeight="1" x14ac:dyDescent="0.35">
      <c r="B41" s="6" t="s">
        <v>123</v>
      </c>
      <c r="C41" s="7">
        <f>C5*Scenarios!$F$7*C40-D$15</f>
        <v>-984</v>
      </c>
      <c r="D41" s="7">
        <f>D5*Scenarios!$F$7*D40-D$15</f>
        <v>-24</v>
      </c>
      <c r="E41" s="9">
        <f>E5*Scenarios!$F$7*E40-D$15</f>
        <v>936</v>
      </c>
    </row>
    <row r="42" spans="2:6" ht="15.75" customHeight="1" x14ac:dyDescent="0.35">
      <c r="B42" s="21" t="s">
        <v>124</v>
      </c>
      <c r="C42" s="22">
        <f>$C$28+($C$5*Scenarios!$F$7*C40-$D$15)</f>
        <v>-2228.3999999999996</v>
      </c>
      <c r="D42" s="22">
        <f>$C$28+($C$5*Scenarios!$F$7*D40-$D$15)</f>
        <v>-1268.3999999999996</v>
      </c>
      <c r="E42" s="23">
        <f>$C$28+($C$5*Scenarios!$F$7*E40-$D$15)</f>
        <v>-308.39999999999964</v>
      </c>
    </row>
    <row r="43" spans="2:6" ht="15" customHeight="1" thickBot="1" x14ac:dyDescent="0.4"/>
    <row r="44" spans="2:6" ht="15.75" customHeight="1" thickBot="1" x14ac:dyDescent="0.4">
      <c r="B44" s="76" t="s">
        <v>125</v>
      </c>
      <c r="C44" s="77"/>
      <c r="D44" s="77"/>
      <c r="E44" s="78"/>
      <c r="F44" s="11" t="s">
        <v>126</v>
      </c>
    </row>
    <row r="45" spans="2:6" ht="15.75" customHeight="1" x14ac:dyDescent="0.35">
      <c r="B45" s="16"/>
      <c r="C45" s="41">
        <v>500</v>
      </c>
      <c r="D45" s="41">
        <v>600</v>
      </c>
      <c r="E45" s="42">
        <v>800</v>
      </c>
    </row>
    <row r="46" spans="2:6" ht="15.75" customHeight="1" x14ac:dyDescent="0.35">
      <c r="B46" s="6" t="s">
        <v>123</v>
      </c>
      <c r="C46" s="7">
        <f t="shared" ref="C46:E46" si="9">$D$27-$D$8*(C45/400-1)</f>
        <v>1128.0000000000009</v>
      </c>
      <c r="D46" s="7">
        <f t="shared" si="9"/>
        <v>840.00000000000091</v>
      </c>
      <c r="E46" s="9">
        <f t="shared" si="9"/>
        <v>264.00000000000091</v>
      </c>
    </row>
    <row r="47" spans="2:6" ht="15.75" customHeight="1" x14ac:dyDescent="0.35">
      <c r="B47" s="24" t="s">
        <v>124</v>
      </c>
      <c r="C47" s="15">
        <f t="shared" ref="C47:E47" si="10">$D$28-($C$8+$D$8)*(C45/400-1)</f>
        <v>-289.19999999999874</v>
      </c>
      <c r="D47" s="15">
        <f t="shared" si="10"/>
        <v>-749.99999999999875</v>
      </c>
      <c r="E47" s="25">
        <f t="shared" si="10"/>
        <v>-1671.5999999999988</v>
      </c>
    </row>
    <row r="48" spans="2:6" ht="15.75" customHeight="1" x14ac:dyDescent="0.35">
      <c r="B48" s="21" t="s">
        <v>112</v>
      </c>
      <c r="C48" s="22" t="str">
        <f t="shared" ref="C48:E48" si="11">IF($C$28-$C$8*(C45/400-1)&gt;=0,"Year 1",IF($D$28-($C$8+$D$8)*(C45/400-1)&gt;=0,"Year 2",IF($E$28-($C$8+$D$8+$E$8)*(C45/400-1)&gt;=0,"Year 3","Beyond Year 3")))</f>
        <v>Year 3</v>
      </c>
      <c r="D48" s="22" t="str">
        <f t="shared" si="11"/>
        <v>Year 3</v>
      </c>
      <c r="E48" s="23" t="str">
        <f t="shared" si="11"/>
        <v>Beyond Year 3</v>
      </c>
    </row>
  </sheetData>
  <mergeCells count="13">
    <mergeCell ref="B39:E39"/>
    <mergeCell ref="B44:E44"/>
    <mergeCell ref="B3:E3"/>
    <mergeCell ref="B14:E14"/>
    <mergeCell ref="F16:J16"/>
    <mergeCell ref="B18:E18"/>
    <mergeCell ref="B19:E19"/>
    <mergeCell ref="F19:J19"/>
    <mergeCell ref="B25:E25"/>
    <mergeCell ref="C29:E29"/>
    <mergeCell ref="B31:E31"/>
    <mergeCell ref="C35:E35"/>
    <mergeCell ref="B37:E37"/>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G10"/>
  <sheetViews>
    <sheetView workbookViewId="0">
      <selection activeCell="B1" sqref="B1"/>
    </sheetView>
  </sheetViews>
  <sheetFormatPr defaultColWidth="14.453125" defaultRowHeight="15" customHeight="1" x14ac:dyDescent="0.35"/>
  <cols>
    <col min="1" max="1" width="14.453125" style="43"/>
    <col min="2" max="2" width="47.26953125" style="43" customWidth="1"/>
    <col min="3" max="3" width="14.453125" style="43"/>
    <col min="4" max="4" width="51.81640625" style="43" customWidth="1"/>
    <col min="5" max="16384" width="14.453125" style="43"/>
  </cols>
  <sheetData>
    <row r="2" spans="2:7" x14ac:dyDescent="0.35">
      <c r="B2" s="87" t="s">
        <v>107</v>
      </c>
    </row>
    <row r="3" spans="2:7" x14ac:dyDescent="0.35">
      <c r="B3" s="87" t="s">
        <v>108</v>
      </c>
    </row>
    <row r="5" spans="2:7" x14ac:dyDescent="0.35">
      <c r="B5" s="87" t="s">
        <v>109</v>
      </c>
      <c r="C5" s="88">
        <f>Model!D5*Scenarios!F7</f>
        <v>4800</v>
      </c>
      <c r="D5" s="87" t="s">
        <v>111</v>
      </c>
      <c r="F5" s="87">
        <f>0</f>
        <v>0</v>
      </c>
      <c r="G5" s="88">
        <f>C5</f>
        <v>4800</v>
      </c>
    </row>
    <row r="6" spans="2:7" x14ac:dyDescent="0.35">
      <c r="B6" s="87" t="s">
        <v>113</v>
      </c>
      <c r="C6" s="88">
        <f>-Model!D5*Scenarios!F7*(1-Scenarios!G7)</f>
        <v>-959.99999999999977</v>
      </c>
      <c r="D6" s="87" t="s">
        <v>114</v>
      </c>
      <c r="F6" s="88">
        <f>C5+C6</f>
        <v>3840</v>
      </c>
      <c r="G6" s="88">
        <f t="shared" ref="G6:G7" si="0">-C6</f>
        <v>959.99999999999977</v>
      </c>
    </row>
    <row r="7" spans="2:7" x14ac:dyDescent="0.35">
      <c r="B7" s="87" t="s">
        <v>115</v>
      </c>
      <c r="C7" s="88">
        <f>-Model!D15</f>
        <v>-2424</v>
      </c>
      <c r="D7" s="87" t="s">
        <v>117</v>
      </c>
      <c r="F7" s="88">
        <f>F6+C7</f>
        <v>1416</v>
      </c>
      <c r="G7" s="88">
        <f t="shared" si="0"/>
        <v>2424</v>
      </c>
    </row>
    <row r="8" spans="2:7" x14ac:dyDescent="0.35">
      <c r="B8" s="87" t="s">
        <v>118</v>
      </c>
      <c r="C8" s="88">
        <f>SUM(C5:C7)</f>
        <v>1416</v>
      </c>
      <c r="D8" s="87" t="s">
        <v>119</v>
      </c>
      <c r="F8" s="87">
        <f>0</f>
        <v>0</v>
      </c>
      <c r="G8" s="88">
        <f>C8</f>
        <v>1416</v>
      </c>
    </row>
    <row r="10" spans="2:7" ht="15" customHeight="1" x14ac:dyDescent="0.35">
      <c r="B10" s="43"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Inputs</vt:lpstr>
      <vt:lpstr>Scenarios</vt:lpstr>
      <vt:lpstr>Model</vt:lpstr>
      <vt:lpstr>Bridge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Yaroslav Pavolotskiy</cp:lastModifiedBy>
  <dcterms:modified xsi:type="dcterms:W3CDTF">2026-08-14T19:15:07Z</dcterms:modified>
</cp:coreProperties>
</file>